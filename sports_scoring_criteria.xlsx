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\\spr-fs-app01\collab\Mal_Share\ViconDatabase\Python Code\Sports_Screening_ReportGenerator\"/>
    </mc:Choice>
  </mc:AlternateContent>
  <xr:revisionPtr revIDLastSave="0" documentId="13_ncr:1_{C1D229E0-478B-4680-BD6F-75F9F24F7C0B}" xr6:coauthVersionLast="47" xr6:coauthVersionMax="47" xr10:uidLastSave="{00000000-0000-0000-0000-000000000000}"/>
  <bookViews>
    <workbookView xWindow="28680" yWindow="-120" windowWidth="29040" windowHeight="15720" xr2:uid="{948AD37F-D091-4D2C-AFEA-0D7F44D6D79C}"/>
  </bookViews>
  <sheets>
    <sheet name="Main test items" sheetId="1" r:id="rId1"/>
    <sheet name="Grouped items" sheetId="2" r:id="rId2"/>
    <sheet name="Sample report format" sheetId="3" r:id="rId3"/>
    <sheet name="Simple Sample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4" l="1"/>
  <c r="AB18" i="4"/>
  <c r="AB16" i="4"/>
  <c r="AB13" i="4"/>
  <c r="V18" i="4"/>
  <c r="V16" i="4"/>
  <c r="V13" i="4"/>
  <c r="AB10" i="4"/>
  <c r="AB7" i="4"/>
  <c r="AB4" i="4"/>
  <c r="AB2" i="4"/>
  <c r="V2" i="4"/>
  <c r="V10" i="4"/>
  <c r="V7" i="4"/>
  <c r="V4" i="4"/>
  <c r="W7" i="4" l="1"/>
  <c r="AD7" i="4" s="1"/>
  <c r="W4" i="4"/>
  <c r="AD4" i="4" s="1"/>
  <c r="W2" i="4"/>
  <c r="AD2" i="4" s="1"/>
  <c r="W10" i="4"/>
  <c r="AD10" i="4" s="1"/>
  <c r="J11" i="4"/>
  <c r="J20" i="4"/>
  <c r="I20" i="4"/>
  <c r="M20" i="4" s="1"/>
  <c r="J19" i="4"/>
  <c r="I19" i="4"/>
  <c r="M19" i="4" s="1"/>
  <c r="J18" i="4"/>
  <c r="I18" i="4"/>
  <c r="M18" i="4" s="1"/>
  <c r="J17" i="4"/>
  <c r="I17" i="4"/>
  <c r="M17" i="4" s="1"/>
  <c r="J16" i="4"/>
  <c r="I16" i="4"/>
  <c r="M16" i="4" s="1"/>
  <c r="I15" i="4"/>
  <c r="M15" i="4" s="1"/>
  <c r="N12" i="4"/>
  <c r="I12" i="4"/>
  <c r="N10" i="4"/>
  <c r="I10" i="4"/>
  <c r="K19" i="4" s="1"/>
  <c r="J9" i="4"/>
  <c r="N8" i="4"/>
  <c r="I8" i="4"/>
  <c r="N6" i="4"/>
  <c r="I6" i="4"/>
  <c r="N4" i="4"/>
  <c r="J4" i="4"/>
  <c r="I4" i="4"/>
  <c r="E4" i="4"/>
  <c r="N2" i="4"/>
  <c r="J2" i="4"/>
  <c r="I2" i="4"/>
  <c r="E2" i="4"/>
  <c r="H17" i="3"/>
  <c r="L17" i="3" s="1"/>
  <c r="H15" i="3"/>
  <c r="L15" i="3" s="1"/>
  <c r="H14" i="3"/>
  <c r="L14" i="3"/>
  <c r="H19" i="3"/>
  <c r="H18" i="3"/>
  <c r="L18" i="3" s="1"/>
  <c r="H16" i="3"/>
  <c r="L16" i="3"/>
  <c r="L19" i="3"/>
  <c r="Q41" i="3"/>
  <c r="Q38" i="3"/>
  <c r="R38" i="3"/>
  <c r="S38" i="3"/>
  <c r="T38" i="3"/>
  <c r="U38" i="3"/>
  <c r="V38" i="3"/>
  <c r="Q39" i="3"/>
  <c r="R39" i="3"/>
  <c r="S39" i="3"/>
  <c r="T39" i="3"/>
  <c r="U39" i="3"/>
  <c r="V39" i="3"/>
  <c r="Q40" i="3"/>
  <c r="R40" i="3"/>
  <c r="S40" i="3"/>
  <c r="T40" i="3"/>
  <c r="U40" i="3"/>
  <c r="V40" i="3"/>
  <c r="R41" i="3"/>
  <c r="S41" i="3"/>
  <c r="T41" i="3"/>
  <c r="U41" i="3"/>
  <c r="V41" i="3"/>
  <c r="Q42" i="3"/>
  <c r="R42" i="3"/>
  <c r="S42" i="3"/>
  <c r="T42" i="3"/>
  <c r="U42" i="3"/>
  <c r="V42" i="3"/>
  <c r="R37" i="3"/>
  <c r="S37" i="3"/>
  <c r="T37" i="3"/>
  <c r="U37" i="3"/>
  <c r="V37" i="3"/>
  <c r="Q37" i="3"/>
  <c r="M4" i="3"/>
  <c r="M6" i="3"/>
  <c r="M7" i="3"/>
  <c r="M9" i="3"/>
  <c r="M10" i="3"/>
  <c r="M2" i="3"/>
  <c r="H4" i="3"/>
  <c r="H6" i="3"/>
  <c r="H7" i="3"/>
  <c r="H9" i="3"/>
  <c r="H10" i="3"/>
  <c r="H2" i="3"/>
  <c r="I19" i="3"/>
  <c r="I18" i="3"/>
  <c r="I17" i="3"/>
  <c r="I16" i="3"/>
  <c r="I15" i="3"/>
  <c r="I14" i="3"/>
  <c r="K11" i="3"/>
  <c r="F11" i="3"/>
  <c r="K15" i="4" l="1"/>
  <c r="K16" i="4"/>
  <c r="K20" i="4"/>
  <c r="K17" i="4"/>
  <c r="K18" i="4"/>
  <c r="J16" i="3"/>
  <c r="J15" i="3"/>
  <c r="J19" i="3"/>
  <c r="J18" i="3"/>
  <c r="J17" i="3"/>
  <c r="J14" i="3"/>
  <c r="I8" i="3"/>
  <c r="I4" i="3"/>
  <c r="D4" i="3"/>
  <c r="I2" i="3"/>
  <c r="D2" i="3"/>
</calcChain>
</file>

<file path=xl/sharedStrings.xml><?xml version="1.0" encoding="utf-8"?>
<sst xmlns="http://schemas.openxmlformats.org/spreadsheetml/2006/main" count="564" uniqueCount="126">
  <si>
    <t>Drop Jump</t>
  </si>
  <si>
    <t>Hip Stability</t>
  </si>
  <si>
    <t>Variable</t>
  </si>
  <si>
    <t>Metric</t>
  </si>
  <si>
    <t>Range</t>
  </si>
  <si>
    <t>AVG</t>
  </si>
  <si>
    <t>MAX</t>
  </si>
  <si>
    <t>Knee valgus</t>
  </si>
  <si>
    <t>Internal hip rotation</t>
  </si>
  <si>
    <t>Hip adduction</t>
  </si>
  <si>
    <t>Knee valgus moment</t>
  </si>
  <si>
    <t>&lt;= 1.1 Nm/kg</t>
  </si>
  <si>
    <t>&lt;= 0 deg</t>
  </si>
  <si>
    <t>&lt;= 10 deg</t>
  </si>
  <si>
    <t>Shock Absorption</t>
  </si>
  <si>
    <t>Knee flexion</t>
  </si>
  <si>
    <t>Hip flexion</t>
  </si>
  <si>
    <t>GRF</t>
  </si>
  <si>
    <t>Hip Strategy</t>
  </si>
  <si>
    <t>Hip behind heel</t>
  </si>
  <si>
    <t>Knee over ankle</t>
  </si>
  <si>
    <t>Trunk lean</t>
  </si>
  <si>
    <t>Hip-to-knee flexion moment</t>
  </si>
  <si>
    <t>&gt;= 90 deg</t>
  </si>
  <si>
    <t>&gt;= 85 deg</t>
  </si>
  <si>
    <t>&lt; 2.2 N/kg</t>
  </si>
  <si>
    <t>at MAX knee flexion</t>
  </si>
  <si>
    <t>&gt;= 30 deg</t>
  </si>
  <si>
    <t>*integrated from foot contact to max knee flexion</t>
  </si>
  <si>
    <t>&lt;= 1.5</t>
  </si>
  <si>
    <t>AVG*</t>
  </si>
  <si>
    <t>Heel Touch</t>
  </si>
  <si>
    <t>Pelvic Stability</t>
  </si>
  <si>
    <t>Pelvic obliquity</t>
  </si>
  <si>
    <t>Trunk Stability</t>
  </si>
  <si>
    <t>Lateral trunk lean</t>
  </si>
  <si>
    <t>Forward trunk lean</t>
  </si>
  <si>
    <t>&lt;= 15 deg</t>
  </si>
  <si>
    <t>&gt;= 0 deg</t>
  </si>
  <si>
    <t>&lt;= 5 deg either direction</t>
  </si>
  <si>
    <t>&lt;= 10 deg either direction</t>
  </si>
  <si>
    <t>GCD variable</t>
  </si>
  <si>
    <t>KneeValgVar_AVG_IC_PKF</t>
  </si>
  <si>
    <t>HipBehindHeel</t>
  </si>
  <si>
    <t>note</t>
  </si>
  <si>
    <t>1=yes, 0=no</t>
  </si>
  <si>
    <t>PelvicObliquity_VAL_PKF</t>
  </si>
  <si>
    <t>KneeFlexExtMoment_INT_POS_IC_PKF / HipFlexExtMoment_INT_POS_IC_PKF</t>
  </si>
  <si>
    <t>!LeftTrunkObliquity_Theia_MAX_IC_PKF and !LeftTrunkObliquity_Theia_MIN_IC_PKF</t>
  </si>
  <si>
    <t>KneeValgVar_VAL_PKF</t>
  </si>
  <si>
    <t>HipAbAdduct_MAX_IC_PKF</t>
  </si>
  <si>
    <t>KneeFlexExt_MAX_IC_PKF</t>
  </si>
  <si>
    <t>HipFlexExt_MAX_IC_PKF</t>
  </si>
  <si>
    <t>AnkleBehindKnee</t>
  </si>
  <si>
    <t>HipAbAdduct_VAL_PKF</t>
  </si>
  <si>
    <t>TrunkTilt_VAL_PKF</t>
  </si>
  <si>
    <t>Hip stability</t>
  </si>
  <si>
    <t>DVJ</t>
  </si>
  <si>
    <t>HET</t>
  </si>
  <si>
    <t>Pelvic stability</t>
  </si>
  <si>
    <t>Trunk stability</t>
  </si>
  <si>
    <t>Hip strategy</t>
  </si>
  <si>
    <t>Dynamic knee valgus</t>
  </si>
  <si>
    <t>DKV</t>
  </si>
  <si>
    <t>HKS</t>
  </si>
  <si>
    <t>Hip knee strategy</t>
  </si>
  <si>
    <t>L1</t>
  </si>
  <si>
    <t>L2</t>
  </si>
  <si>
    <t>L3</t>
  </si>
  <si>
    <t>R1</t>
  </si>
  <si>
    <t>R2</t>
  </si>
  <si>
    <t>R3</t>
  </si>
  <si>
    <t>Lateral Trunk Lean</t>
  </si>
  <si>
    <t>&lt;=10° both directions</t>
  </si>
  <si>
    <t>Pelvic Obliquity</t>
  </si>
  <si>
    <t>&lt;=5° up or down</t>
  </si>
  <si>
    <t>&lt;=15°</t>
  </si>
  <si>
    <t>&lt;=0°</t>
  </si>
  <si>
    <t xml:space="preserve">Knee valgus </t>
  </si>
  <si>
    <t>&lt;=2°</t>
  </si>
  <si>
    <t>impaired</t>
  </si>
  <si>
    <t>left</t>
  </si>
  <si>
    <t>Trunk Sym</t>
  </si>
  <si>
    <t>Pelvic Sym</t>
  </si>
  <si>
    <t>adduction</t>
  </si>
  <si>
    <t>Dynamic Knee Valgus</t>
  </si>
  <si>
    <t>&gt;= -2 deg</t>
  </si>
  <si>
    <t>avg</t>
  </si>
  <si>
    <t>ratio</t>
  </si>
  <si>
    <t>RSI</t>
  </si>
  <si>
    <t>Right</t>
  </si>
  <si>
    <t>Hip Adduction HET</t>
  </si>
  <si>
    <t>Hip Adduction DVJ</t>
  </si>
  <si>
    <t>Knee valgus HET</t>
  </si>
  <si>
    <t>Knee valgus DVJ</t>
  </si>
  <si>
    <t>Left</t>
  </si>
  <si>
    <t>zero</t>
  </si>
  <si>
    <t>cut-point</t>
  </si>
  <si>
    <t>range</t>
  </si>
  <si>
    <t>Unscaled Radar Plot</t>
  </si>
  <si>
    <t>Unscaled Radar Plot Avg</t>
  </si>
  <si>
    <t>Scaled Radar Plot (x-max)/range</t>
  </si>
  <si>
    <t>Scaled Parallel Coordinate Plot</t>
  </si>
  <si>
    <t>diff/range</t>
  </si>
  <si>
    <t>Unscaled Line Plot</t>
  </si>
  <si>
    <t>valgus</t>
  </si>
  <si>
    <t>avg diff</t>
  </si>
  <si>
    <t>Trunk Lean</t>
  </si>
  <si>
    <t>IDEAL</t>
  </si>
  <si>
    <t>&gt;=30° forward trunk lean</t>
  </si>
  <si>
    <t>&gt;85°</t>
  </si>
  <si>
    <t xml:space="preserve">Knee flexion </t>
  </si>
  <si>
    <t>&gt;90°</t>
  </si>
  <si>
    <t>Knee over midfoot</t>
  </si>
  <si>
    <t>Yes</t>
  </si>
  <si>
    <t>No</t>
  </si>
  <si>
    <t>Hip behind heels</t>
  </si>
  <si>
    <t>Hip vs. Knee Strategy</t>
  </si>
  <si>
    <t>sym</t>
  </si>
  <si>
    <t>Hip Ab-Adduction</t>
  </si>
  <si>
    <t>Trunk Flexion</t>
  </si>
  <si>
    <t>Symmetry</t>
  </si>
  <si>
    <t>Hip Flexion</t>
  </si>
  <si>
    <t>Knee Flexion</t>
  </si>
  <si>
    <t>NOTE: Colored bars projecting into gray areas are considered outside of the identified cut-points for each measure.</t>
  </si>
  <si>
    <t>Plots are designed to be anatomically aligned such that bars point in the direction you would see the segment if looking at a photo of the movement.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</si>
</sst>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1" applyNumberFormat="1" applyFont="1"/>
    <xf numFmtId="9" fontId="0" fillId="0" borderId="0" xfId="1" applyFont="1"/>
    <xf numFmtId="2" fontId="0" fillId="0" borderId="0" xfId="1" applyNumberFormat="1" applyFont="1"/>
    <xf numFmtId="2" fontId="0" fillId="0" borderId="0" xfId="0" applyNumberFormat="1"/>
    <xf numFmtId="0" fontId="1" fillId="0" borderId="0" xfId="0" applyFont="1"/>
    <xf numFmtId="164" fontId="1" fillId="0" borderId="0" xfId="1" applyNumberFormat="1" applyFont="1"/>
    <xf numFmtId="164" fontId="4" fillId="0" borderId="0" xfId="1" applyNumberFormat="1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7" fillId="0" borderId="0" xfId="0" applyFont="1" applyAlignment="1">
      <alignment horizontal="right" vertical="center" textRotation="90" wrapText="1"/>
    </xf>
    <xf numFmtId="0" fontId="7" fillId="0" borderId="0" xfId="0" applyFont="1" applyAlignment="1">
      <alignment horizontal="right" wrapText="1"/>
    </xf>
    <xf numFmtId="1" fontId="0" fillId="0" borderId="0" xfId="0" applyNumberFormat="1" applyAlignment="1">
      <alignment horizontal="center"/>
    </xf>
    <xf numFmtId="164" fontId="9" fillId="0" borderId="0" xfId="1" applyNumberFormat="1" applyFont="1"/>
    <xf numFmtId="0" fontId="3" fillId="0" borderId="0" xfId="0" applyFont="1"/>
    <xf numFmtId="164" fontId="0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7" fillId="0" borderId="0" xfId="0" applyFont="1" applyAlignment="1">
      <alignment horizontal="right" vertical="center" textRotation="90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49696"/>
      <color rgb="FFE44A4A"/>
      <color rgb="FF9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Lateral Trunk Lean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'[1]Test plots'!$D$2</c:f>
              <c:strCache>
                <c:ptCount val="1"/>
                <c:pt idx="0">
                  <c:v>Lateral Trunk 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plots'!$E$1:$G$1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'[1]Test plots'!$E$2:$G$2</c:f>
              <c:numCache>
                <c:formatCode>General</c:formatCode>
                <c:ptCount val="3"/>
                <c:pt idx="0">
                  <c:v>9.33</c:v>
                </c:pt>
                <c:pt idx="1">
                  <c:v>0.2</c:v>
                </c:pt>
                <c:pt idx="2">
                  <c:v>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4-4EDE-988D-182CD0782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1434720"/>
        <c:axId val="1759718544"/>
      </c:barChart>
      <c:catAx>
        <c:axId val="16014347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18544"/>
        <c:crosses val="autoZero"/>
        <c:auto val="1"/>
        <c:lblAlgn val="ctr"/>
        <c:lblOffset val="100"/>
        <c:noMultiLvlLbl val="0"/>
      </c:catAx>
      <c:valAx>
        <c:axId val="1759718544"/>
        <c:scaling>
          <c:orientation val="maxMin"/>
          <c:max val="12"/>
          <c:min val="-1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Contralateral</a:t>
                </a:r>
                <a:r>
                  <a:rPr lang="en-US" baseline="0"/>
                  <a:t>                              Ipsilateral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014347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Lateral Trunk Lean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'[1]Test plots'!$I$2</c:f>
              <c:strCache>
                <c:ptCount val="1"/>
                <c:pt idx="0">
                  <c:v>Lateral Trunk Lean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plots'!$J$1:$L$1</c:f>
              <c:strCache>
                <c:ptCount val="3"/>
                <c:pt idx="0">
                  <c:v>R1</c:v>
                </c:pt>
                <c:pt idx="1">
                  <c:v>R2</c:v>
                </c:pt>
                <c:pt idx="2">
                  <c:v>R3</c:v>
                </c:pt>
              </c:strCache>
            </c:strRef>
          </c:cat>
          <c:val>
            <c:numRef>
              <c:f>'[1]Test plots'!$J$2:$L$2</c:f>
              <c:numCache>
                <c:formatCode>General</c:formatCode>
                <c:ptCount val="3"/>
                <c:pt idx="0">
                  <c:v>4.79</c:v>
                </c:pt>
                <c:pt idx="1">
                  <c:v>5.98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0-421A-8C92-1897C5F43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2052640"/>
        <c:axId val="1591151872"/>
      </c:barChart>
      <c:catAx>
        <c:axId val="175205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51872"/>
        <c:crosses val="autoZero"/>
        <c:auto val="1"/>
        <c:lblAlgn val="ctr"/>
        <c:lblOffset val="100"/>
        <c:noMultiLvlLbl val="0"/>
      </c:catAx>
      <c:valAx>
        <c:axId val="1591151872"/>
        <c:scaling>
          <c:orientation val="minMax"/>
          <c:max val="12"/>
          <c:min val="-1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Ipsilateral</a:t>
                </a:r>
                <a:r>
                  <a:rPr lang="en-US" baseline="0"/>
                  <a:t>                              Contralateral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crossAx val="17520526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Trunk Lean</a:t>
            </a:r>
            <a:r>
              <a:rPr lang="en-US" baseline="0"/>
              <a:t> Range Sym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'Sample report format'!$K$14</c:f>
              <c:strCache>
                <c:ptCount val="1"/>
                <c:pt idx="0">
                  <c:v>Trunk Sym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'Sample report format'!$L$14</c:f>
              <c:numCache>
                <c:formatCode>0.0%</c:formatCode>
                <c:ptCount val="1"/>
                <c:pt idx="0">
                  <c:v>1.2000000000000011E-2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F-4EE0-8723-CED561D2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683312"/>
        <c:axId val="1759682832"/>
      </c:barChart>
      <c:catAx>
        <c:axId val="175968331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solidFill>
            <a:schemeClr val="tx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2832"/>
        <c:crossesAt val="0"/>
        <c:auto val="1"/>
        <c:lblAlgn val="ctr"/>
        <c:lblOffset val="100"/>
        <c:noMultiLvlLbl val="0"/>
      </c:catAx>
      <c:valAx>
        <c:axId val="1759682832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331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'[1]Test plots'!$D$4</c:f>
              <c:strCache>
                <c:ptCount val="1"/>
                <c:pt idx="0">
                  <c:v>Pelvic Obliquity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plots'!$E$3:$G$3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'[1]Test plots'!$E$4:$G$4</c:f>
              <c:numCache>
                <c:formatCode>General</c:formatCode>
                <c:ptCount val="3"/>
                <c:pt idx="0">
                  <c:v>4.93</c:v>
                </c:pt>
                <c:pt idx="1">
                  <c:v>3.57</c:v>
                </c:pt>
                <c:pt idx="2">
                  <c:v>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4-4F00-81DD-63379B15B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700688"/>
        <c:axId val="1591702128"/>
      </c:barChart>
      <c:catAx>
        <c:axId val="159170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02128"/>
        <c:crosses val="autoZero"/>
        <c:auto val="1"/>
        <c:lblAlgn val="ctr"/>
        <c:lblOffset val="100"/>
        <c:noMultiLvlLbl val="0"/>
      </c:catAx>
      <c:valAx>
        <c:axId val="1591702128"/>
        <c:scaling>
          <c:orientation val="minMax"/>
          <c:max val="6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Down                            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9170068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'[1]Test plots'!$I$4</c:f>
              <c:strCache>
                <c:ptCount val="1"/>
                <c:pt idx="0">
                  <c:v>Pelvic Obliquity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plots'!$J$3:$L$3</c:f>
              <c:strCache>
                <c:ptCount val="3"/>
                <c:pt idx="0">
                  <c:v>R1</c:v>
                </c:pt>
                <c:pt idx="1">
                  <c:v>R2</c:v>
                </c:pt>
                <c:pt idx="2">
                  <c:v>R3</c:v>
                </c:pt>
              </c:strCache>
            </c:strRef>
          </c:cat>
          <c:val>
            <c:numRef>
              <c:f>'[1]Test plots'!$J$4:$L$4</c:f>
              <c:numCache>
                <c:formatCode>General</c:formatCode>
                <c:ptCount val="3"/>
                <c:pt idx="0">
                  <c:v>1.42</c:v>
                </c:pt>
                <c:pt idx="1">
                  <c:v>1.61</c:v>
                </c:pt>
                <c:pt idx="2">
                  <c:v>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7-42C6-BE99-D52470937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289264"/>
        <c:axId val="1591369024"/>
      </c:barChart>
      <c:catAx>
        <c:axId val="17702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69024"/>
        <c:crosses val="autoZero"/>
        <c:auto val="1"/>
        <c:lblAlgn val="ctr"/>
        <c:lblOffset val="100"/>
        <c:noMultiLvlLbl val="0"/>
      </c:catAx>
      <c:valAx>
        <c:axId val="1591369024"/>
        <c:scaling>
          <c:orientation val="minMax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                             Up</a:t>
                </a:r>
              </a:p>
            </c:rich>
          </c:tx>
          <c:layout>
            <c:manualLayout>
              <c:xMode val="edge"/>
              <c:yMode val="edge"/>
              <c:x val="0.93483138715728276"/>
              <c:y val="0.26235182791291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7028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Pelvic Obliquity</a:t>
            </a:r>
            <a:r>
              <a:rPr lang="en-US" baseline="0"/>
              <a:t> Range Sym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'Sample report format'!$K$15</c:f>
              <c:strCache>
                <c:ptCount val="1"/>
                <c:pt idx="0">
                  <c:v>Pelvic Sym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'Sample report format'!$L$15</c:f>
              <c:numCache>
                <c:formatCode>0.0%</c:formatCode>
                <c:ptCount val="1"/>
                <c:pt idx="0">
                  <c:v>0.15299999999999997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0-4D87-BBCB-2A05C3D76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3051072"/>
        <c:axId val="1783049632"/>
      </c:barChart>
      <c:catAx>
        <c:axId val="178305107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049632"/>
        <c:crosses val="autoZero"/>
        <c:auto val="1"/>
        <c:lblAlgn val="ctr"/>
        <c:lblOffset val="100"/>
        <c:noMultiLvlLbl val="0"/>
      </c:catAx>
      <c:valAx>
        <c:axId val="1783049632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05107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Hip Adduction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'[1]Test plots'!$D$6</c:f>
              <c:strCache>
                <c:ptCount val="1"/>
                <c:pt idx="0">
                  <c:v>HET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plots'!$E$5:$G$5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'[1]Test plots'!$E$6:$G$6</c:f>
              <c:numCache>
                <c:formatCode>General</c:formatCode>
                <c:ptCount val="3"/>
                <c:pt idx="0">
                  <c:v>12.03</c:v>
                </c:pt>
                <c:pt idx="1">
                  <c:v>11.69</c:v>
                </c:pt>
                <c:pt idx="2">
                  <c:v>11.64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0-457D-B5F4-EE99CF4C756C}"/>
            </c:ext>
          </c:extLst>
        </c:ser>
        <c:ser>
          <c:idx val="1"/>
          <c:order val="1"/>
          <c:tx>
            <c:strRef>
              <c:f>'[1]Test plots'!$D$7</c:f>
              <c:strCache>
                <c:ptCount val="1"/>
                <c:pt idx="0">
                  <c:v>DVJ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plots'!$E$5:$G$5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'[1]Test plots'!$E$7:$G$7</c:f>
              <c:numCache>
                <c:formatCode>General</c:formatCode>
                <c:ptCount val="3"/>
                <c:pt idx="0">
                  <c:v>-10.63</c:v>
                </c:pt>
                <c:pt idx="1">
                  <c:v>-7.2</c:v>
                </c:pt>
                <c:pt idx="2">
                  <c:v>-11.3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0-457D-B5F4-EE99CF4C7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3986128"/>
        <c:axId val="1823992848"/>
      </c:barChart>
      <c:catAx>
        <c:axId val="18239861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92848"/>
        <c:crosses val="autoZero"/>
        <c:auto val="1"/>
        <c:lblAlgn val="ctr"/>
        <c:lblOffset val="100"/>
        <c:noMultiLvlLbl val="0"/>
      </c:catAx>
      <c:valAx>
        <c:axId val="1823992848"/>
        <c:scaling>
          <c:orientation val="maxMin"/>
          <c:max val="20"/>
          <c:min val="-2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Adduction                              Abduction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2398612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Hip Adduction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'[1]Test plots'!$I$6</c:f>
              <c:strCache>
                <c:ptCount val="1"/>
                <c:pt idx="0">
                  <c:v>HET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plots'!$J$5:$L$5</c:f>
              <c:strCache>
                <c:ptCount val="3"/>
                <c:pt idx="0">
                  <c:v>R1</c:v>
                </c:pt>
                <c:pt idx="1">
                  <c:v>R2</c:v>
                </c:pt>
                <c:pt idx="2">
                  <c:v>R3</c:v>
                </c:pt>
              </c:strCache>
            </c:strRef>
          </c:cat>
          <c:val>
            <c:numRef>
              <c:f>'[1]Test plots'!$J$6:$L$6</c:f>
              <c:numCache>
                <c:formatCode>General</c:formatCode>
                <c:ptCount val="3"/>
                <c:pt idx="0">
                  <c:v>8.8699999999999992</c:v>
                </c:pt>
                <c:pt idx="1">
                  <c:v>12.35</c:v>
                </c:pt>
                <c:pt idx="2">
                  <c:v>15.39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4-40FA-B4C3-10994C5B0EFA}"/>
            </c:ext>
          </c:extLst>
        </c:ser>
        <c:ser>
          <c:idx val="1"/>
          <c:order val="1"/>
          <c:tx>
            <c:strRef>
              <c:f>'[1]Test plots'!$I$7</c:f>
              <c:strCache>
                <c:ptCount val="1"/>
                <c:pt idx="0">
                  <c:v>DVJ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plots'!$J$5:$L$5</c:f>
              <c:strCache>
                <c:ptCount val="3"/>
                <c:pt idx="0">
                  <c:v>R1</c:v>
                </c:pt>
                <c:pt idx="1">
                  <c:v>R2</c:v>
                </c:pt>
                <c:pt idx="2">
                  <c:v>R3</c:v>
                </c:pt>
              </c:strCache>
            </c:strRef>
          </c:cat>
          <c:val>
            <c:numRef>
              <c:f>'[1]Test plots'!$J$7:$L$7</c:f>
              <c:numCache>
                <c:formatCode>General</c:formatCode>
                <c:ptCount val="3"/>
                <c:pt idx="0">
                  <c:v>-5.7</c:v>
                </c:pt>
                <c:pt idx="1">
                  <c:v>-8.98</c:v>
                </c:pt>
                <c:pt idx="2">
                  <c:v>-3.78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4-40FA-B4C3-10994C5B0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2622784"/>
        <c:axId val="1822628544"/>
      </c:barChart>
      <c:catAx>
        <c:axId val="182262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28544"/>
        <c:crosses val="autoZero"/>
        <c:auto val="1"/>
        <c:lblAlgn val="ctr"/>
        <c:lblOffset val="100"/>
        <c:noMultiLvlLbl val="0"/>
      </c:catAx>
      <c:valAx>
        <c:axId val="1822628544"/>
        <c:scaling>
          <c:orientation val="minMax"/>
          <c:max val="20"/>
          <c:min val="-2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Abduction                              Adduction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22622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Hip Adduction Range Sym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'Sample report format'!$K$16:$K$17</c:f>
              <c:strCache>
                <c:ptCount val="2"/>
                <c:pt idx="0">
                  <c:v>HET</c:v>
                </c:pt>
                <c:pt idx="1">
                  <c:v>DVJ</c:v>
                </c:pt>
              </c:strCache>
            </c:strRef>
          </c:cat>
          <c:val>
            <c:numRef>
              <c:f>'Sample report format'!$L$16:$L$17</c:f>
              <c:numCache>
                <c:formatCode>0.0%</c:formatCode>
                <c:ptCount val="2"/>
                <c:pt idx="0">
                  <c:v>-2.7777777777777738E-2</c:v>
                </c:pt>
                <c:pt idx="1">
                  <c:v>-0.35566666666666674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7-491D-9C73-61DFF1D6C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3566624"/>
        <c:axId val="1773556544"/>
      </c:barChart>
      <c:catAx>
        <c:axId val="177356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56544"/>
        <c:crosses val="autoZero"/>
        <c:auto val="1"/>
        <c:lblAlgn val="ctr"/>
        <c:lblOffset val="100"/>
        <c:noMultiLvlLbl val="0"/>
      </c:catAx>
      <c:valAx>
        <c:axId val="1773556544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666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Knee Valgus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'[1]Test plots'!$D$9</c:f>
              <c:strCache>
                <c:ptCount val="1"/>
                <c:pt idx="0">
                  <c:v>HET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plots'!$E$8:$G$8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'[1]Test plots'!$E$9:$G$9</c:f>
              <c:numCache>
                <c:formatCode>General</c:formatCode>
                <c:ptCount val="3"/>
                <c:pt idx="0">
                  <c:v>0.92</c:v>
                </c:pt>
                <c:pt idx="1">
                  <c:v>0.55000000000000004</c:v>
                </c:pt>
                <c:pt idx="2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7-4E44-9982-D2D337ADEACC}"/>
            </c:ext>
          </c:extLst>
        </c:ser>
        <c:ser>
          <c:idx val="1"/>
          <c:order val="1"/>
          <c:tx>
            <c:strRef>
              <c:f>'[1]Test plots'!$D$10</c:f>
              <c:strCache>
                <c:ptCount val="1"/>
                <c:pt idx="0">
                  <c:v>DVJ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plots'!$E$8:$G$8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'[1]Test plots'!$E$10:$G$10</c:f>
              <c:numCache>
                <c:formatCode>General</c:formatCode>
                <c:ptCount val="3"/>
                <c:pt idx="0">
                  <c:v>1.87</c:v>
                </c:pt>
                <c:pt idx="1">
                  <c:v>0.92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17-4E44-9982-D2D337ADE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898304"/>
        <c:axId val="1391893984"/>
      </c:barChart>
      <c:catAx>
        <c:axId val="139189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93984"/>
        <c:crosses val="autoZero"/>
        <c:auto val="1"/>
        <c:lblAlgn val="ctr"/>
        <c:lblOffset val="100"/>
        <c:noMultiLvlLbl val="0"/>
      </c:catAx>
      <c:valAx>
        <c:axId val="1391893984"/>
        <c:scaling>
          <c:orientation val="minMax"/>
          <c:max val="5"/>
          <c:min val="-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Valgus                                                            Varus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3918983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Knee Valgus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'[1]Test plots'!$I$9</c:f>
              <c:strCache>
                <c:ptCount val="1"/>
                <c:pt idx="0">
                  <c:v>HET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plots'!$J$8:$L$8</c:f>
              <c:strCache>
                <c:ptCount val="3"/>
                <c:pt idx="0">
                  <c:v>R1</c:v>
                </c:pt>
                <c:pt idx="1">
                  <c:v>R2</c:v>
                </c:pt>
                <c:pt idx="2">
                  <c:v>R3</c:v>
                </c:pt>
              </c:strCache>
            </c:strRef>
          </c:cat>
          <c:val>
            <c:numRef>
              <c:f>'[1]Test plots'!$J$9:$L$9</c:f>
              <c:numCache>
                <c:formatCode>General</c:formatCode>
                <c:ptCount val="3"/>
                <c:pt idx="0">
                  <c:v>-3.01</c:v>
                </c:pt>
                <c:pt idx="1">
                  <c:v>-1.53</c:v>
                </c:pt>
                <c:pt idx="2">
                  <c:v>-1.54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F-4762-B47B-2F1277D41E54}"/>
            </c:ext>
          </c:extLst>
        </c:ser>
        <c:ser>
          <c:idx val="1"/>
          <c:order val="1"/>
          <c:tx>
            <c:strRef>
              <c:f>'[1]Test plots'!$I$10</c:f>
              <c:strCache>
                <c:ptCount val="1"/>
                <c:pt idx="0">
                  <c:v>DVJ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'[1]Test plots'!$J$8:$L$8</c:f>
              <c:strCache>
                <c:ptCount val="3"/>
                <c:pt idx="0">
                  <c:v>R1</c:v>
                </c:pt>
                <c:pt idx="1">
                  <c:v>R2</c:v>
                </c:pt>
                <c:pt idx="2">
                  <c:v>R3</c:v>
                </c:pt>
              </c:strCache>
            </c:strRef>
          </c:cat>
          <c:val>
            <c:numRef>
              <c:f>'[1]Test plots'!$J$10:$L$10</c:f>
              <c:numCache>
                <c:formatCode>General</c:formatCode>
                <c:ptCount val="3"/>
                <c:pt idx="0">
                  <c:v>-0.34</c:v>
                </c:pt>
                <c:pt idx="1">
                  <c:v>-0.09</c:v>
                </c:pt>
                <c:pt idx="2">
                  <c:v>-0.94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F-4762-B47B-2F1277D41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589728"/>
        <c:axId val="1707583488"/>
      </c:barChart>
      <c:catAx>
        <c:axId val="17075897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3488"/>
        <c:crosses val="autoZero"/>
        <c:auto val="1"/>
        <c:lblAlgn val="ctr"/>
        <c:lblOffset val="100"/>
        <c:noMultiLvlLbl val="0"/>
      </c:catAx>
      <c:valAx>
        <c:axId val="1707583488"/>
        <c:scaling>
          <c:orientation val="maxMin"/>
          <c:max val="5"/>
          <c:min val="-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Varus                                                            Valgus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7075897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Knee Valgus Range Sym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3A-40FE-BD29-5CF2AACD4BA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3A-40FE-BD29-5CF2AACD4B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'Sample report format'!$K$18:$K$19</c:f>
              <c:strCache>
                <c:ptCount val="2"/>
                <c:pt idx="0">
                  <c:v>HET</c:v>
                </c:pt>
                <c:pt idx="1">
                  <c:v>DVJ</c:v>
                </c:pt>
              </c:strCache>
            </c:strRef>
          </c:cat>
          <c:val>
            <c:numRef>
              <c:f>'Sample report format'!$L$18:$L$19</c:f>
              <c:numCache>
                <c:formatCode>0.0%</c:formatCode>
                <c:ptCount val="2"/>
                <c:pt idx="0">
                  <c:v>0.50466666666666671</c:v>
                </c:pt>
                <c:pt idx="1">
                  <c:v>0.34400000000000003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3A-40FE-BD29-5CF2AACD4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2645920"/>
        <c:axId val="1852637280"/>
      </c:barChart>
      <c:catAx>
        <c:axId val="185264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37280"/>
        <c:crosses val="autoZero"/>
        <c:auto val="1"/>
        <c:lblAlgn val="ctr"/>
        <c:lblOffset val="100"/>
        <c:noMultiLvlLbl val="0"/>
      </c:catAx>
      <c:valAx>
        <c:axId val="1852637280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45920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 Knee Valgus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'Sample report format'!$AE$1</c:f>
              <c:strCache>
                <c:ptCount val="1"/>
                <c:pt idx="0">
                  <c:v>Left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format'!$AD$2:$AD$7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format'!$AE$2:$AE$7</c:f>
              <c:numCache>
                <c:formatCode>General</c:formatCode>
                <c:ptCount val="6"/>
                <c:pt idx="0">
                  <c:v>3.8966666666666665</c:v>
                </c:pt>
                <c:pt idx="1">
                  <c:v>4.1366666666666667</c:v>
                </c:pt>
                <c:pt idx="2">
                  <c:v>11.786666666666667</c:v>
                </c:pt>
                <c:pt idx="3">
                  <c:v>-9.7100000000000009</c:v>
                </c:pt>
                <c:pt idx="4">
                  <c:v>0.49666666666666676</c:v>
                </c:pt>
                <c:pt idx="5">
                  <c:v>1.2633333333333334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A-4A99-BE66-769D7926ECFE}"/>
            </c:ext>
          </c:extLst>
        </c:ser>
        <c:ser>
          <c:idx val="1"/>
          <c:order val="1"/>
          <c:tx>
            <c:strRef>
              <c:f>'Sample report format'!$AF$1</c:f>
              <c:strCache>
                <c:ptCount val="1"/>
                <c:pt idx="0">
                  <c:v>Right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format'!$AD$2:$AD$7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format'!$AF$2:$AF$7</c:f>
              <c:numCache>
                <c:formatCode>General</c:formatCode>
                <c:ptCount val="6"/>
                <c:pt idx="0">
                  <c:v>3.6566666666666663</c:v>
                </c:pt>
                <c:pt idx="1">
                  <c:v>2.6066666666666669</c:v>
                </c:pt>
                <c:pt idx="2">
                  <c:v>12.203333333333333</c:v>
                </c:pt>
                <c:pt idx="3">
                  <c:v>-6.1533333333333333</c:v>
                </c:pt>
                <c:pt idx="4">
                  <c:v>-2.0266666666666668</c:v>
                </c:pt>
                <c:pt idx="5">
                  <c:v>-0.45666666666666672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A-4A99-BE66-769D7926E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749296"/>
        <c:axId val="2022749776"/>
      </c:radarChart>
      <c:catAx>
        <c:axId val="20227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49776"/>
        <c:crosses val="autoZero"/>
        <c:auto val="1"/>
        <c:lblAlgn val="ctr"/>
        <c:lblOffset val="100"/>
        <c:noMultiLvlLbl val="0"/>
      </c:catAx>
      <c:valAx>
        <c:axId val="20227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4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 Knee Valgus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prstDash val="sysDot"/>
              <a:round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  <a:effectLst/>
          </c:spPr>
          <c:marker>
            <c:symbol val="none"/>
          </c:marker>
          <c:cat>
            <c:strRef>
              <c:f>'Sample report format'!$P$2:$P$7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877-46D5-BA5F-D8FDC2974477}"/>
            </c:ext>
          </c:extLst>
        </c:ser>
        <c:ser>
          <c:idx val="1"/>
          <c:order val="1"/>
          <c:spPr>
            <a:ln w="95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format'!$P$2:$P$7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format'!$R$2:$R$7</c:f>
              <c:numCache>
                <c:formatCode>General</c:formatCode>
                <c:ptCount val="6"/>
                <c:pt idx="0">
                  <c:v>9.33</c:v>
                </c:pt>
                <c:pt idx="1">
                  <c:v>4.93</c:v>
                </c:pt>
                <c:pt idx="2">
                  <c:v>12.03</c:v>
                </c:pt>
                <c:pt idx="3">
                  <c:v>-10.63</c:v>
                </c:pt>
                <c:pt idx="4">
                  <c:v>0.92</c:v>
                </c:pt>
                <c:pt idx="5">
                  <c:v>1.87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877-46D5-BA5F-D8FDC2974477}"/>
            </c:ext>
          </c:extLst>
        </c:ser>
        <c:ser>
          <c:idx val="2"/>
          <c:order val="2"/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format'!$P$2:$P$7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format'!$S$2:$S$7</c:f>
              <c:numCache>
                <c:formatCode>General</c:formatCode>
                <c:ptCount val="6"/>
                <c:pt idx="0">
                  <c:v>0.2</c:v>
                </c:pt>
                <c:pt idx="1">
                  <c:v>3.57</c:v>
                </c:pt>
                <c:pt idx="2">
                  <c:v>11.69</c:v>
                </c:pt>
                <c:pt idx="3">
                  <c:v>-7.2</c:v>
                </c:pt>
                <c:pt idx="4">
                  <c:v>0.55000000000000004</c:v>
                </c:pt>
                <c:pt idx="5">
                  <c:v>0.92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5877-46D5-BA5F-D8FDC2974477}"/>
            </c:ext>
          </c:extLst>
        </c:ser>
        <c:ser>
          <c:idx val="3"/>
          <c:order val="3"/>
          <c:spPr>
            <a:ln w="952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format'!$P$2:$P$7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format'!$T$2:$T$7</c:f>
              <c:numCache>
                <c:formatCode>General</c:formatCode>
                <c:ptCount val="6"/>
                <c:pt idx="0">
                  <c:v>2.16</c:v>
                </c:pt>
                <c:pt idx="1">
                  <c:v>3.91</c:v>
                </c:pt>
                <c:pt idx="2">
                  <c:v>11.64</c:v>
                </c:pt>
                <c:pt idx="3">
                  <c:v>-11.3</c:v>
                </c:pt>
                <c:pt idx="4">
                  <c:v>0.02</c:v>
                </c:pt>
                <c:pt idx="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5877-46D5-BA5F-D8FDC2974477}"/>
            </c:ext>
          </c:extLst>
        </c:ser>
        <c:ser>
          <c:idx val="5"/>
          <c:order val="4"/>
          <c:spPr>
            <a:ln w="28575" cap="rnd">
              <a:solidFill>
                <a:srgbClr val="9E0000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format'!$P$2:$P$7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format'!$U$2:$U$7</c:f>
              <c:numCache>
                <c:formatCode>General</c:formatCode>
                <c:ptCount val="6"/>
                <c:pt idx="0">
                  <c:v>4.79</c:v>
                </c:pt>
                <c:pt idx="1">
                  <c:v>1.42</c:v>
                </c:pt>
                <c:pt idx="2">
                  <c:v>8.8699999999999992</c:v>
                </c:pt>
                <c:pt idx="3">
                  <c:v>-5.7</c:v>
                </c:pt>
                <c:pt idx="4">
                  <c:v>-3.01</c:v>
                </c:pt>
                <c:pt idx="5">
                  <c:v>-0.34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5877-46D5-BA5F-D8FDC2974477}"/>
            </c:ext>
          </c:extLst>
        </c:ser>
        <c:ser>
          <c:idx val="6"/>
          <c:order val="5"/>
          <c:spPr>
            <a:ln w="9525" cap="rnd">
              <a:solidFill>
                <a:srgbClr val="E44A4A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format'!$P$2:$P$7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format'!$V$2:$V$7</c:f>
              <c:numCache>
                <c:formatCode>General</c:formatCode>
                <c:ptCount val="6"/>
                <c:pt idx="0">
                  <c:v>5.98</c:v>
                </c:pt>
                <c:pt idx="1">
                  <c:v>1.61</c:v>
                </c:pt>
                <c:pt idx="2">
                  <c:v>12.35</c:v>
                </c:pt>
                <c:pt idx="3">
                  <c:v>-8.98</c:v>
                </c:pt>
                <c:pt idx="4">
                  <c:v>-1.53</c:v>
                </c:pt>
                <c:pt idx="5">
                  <c:v>-0.09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77E-4629-A033-81D734A46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181568"/>
        <c:axId val="544182528"/>
      </c:radarChart>
      <c:catAx>
        <c:axId val="54418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2528"/>
        <c:crosses val="autoZero"/>
        <c:auto val="1"/>
        <c:lblAlgn val="ctr"/>
        <c:lblOffset val="100"/>
        <c:noMultiLvlLbl val="0"/>
      </c:catAx>
      <c:valAx>
        <c:axId val="5441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 Knee Valgus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'Sample report format'!$Q$36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format'!$P$37:$P$42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format'!$Q$37:$Q$42</c:f>
              <c:numCache>
                <c:formatCode>General</c:formatCode>
                <c:ptCount val="6"/>
                <c:pt idx="0">
                  <c:v>-3.3499999999999995E-2</c:v>
                </c:pt>
                <c:pt idx="1">
                  <c:v>-7.0000000000000288E-3</c:v>
                </c:pt>
                <c:pt idx="2">
                  <c:v>-0.19800000000000004</c:v>
                </c:pt>
                <c:pt idx="3">
                  <c:v>-1.0630000000000002</c:v>
                </c:pt>
                <c:pt idx="4">
                  <c:v>0.184</c:v>
                </c:pt>
                <c:pt idx="5">
                  <c:v>-2.5999999999999978E-2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3-44F7-B284-C367C5CB0777}"/>
            </c:ext>
          </c:extLst>
        </c:ser>
        <c:ser>
          <c:idx val="1"/>
          <c:order val="1"/>
          <c:tx>
            <c:strRef>
              <c:f>'Sample report format'!$R$36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format'!$P$37:$P$42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format'!$R$37:$R$42</c:f>
              <c:numCache>
                <c:formatCode>General</c:formatCode>
                <c:ptCount val="6"/>
                <c:pt idx="0">
                  <c:v>-0.49000000000000005</c:v>
                </c:pt>
                <c:pt idx="1">
                  <c:v>-0.14300000000000002</c:v>
                </c:pt>
                <c:pt idx="2">
                  <c:v>-0.22066666666666671</c:v>
                </c:pt>
                <c:pt idx="3">
                  <c:v>-0.72</c:v>
                </c:pt>
                <c:pt idx="4">
                  <c:v>0.11000000000000001</c:v>
                </c:pt>
                <c:pt idx="5">
                  <c:v>-0.21600000000000003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3-44F7-B284-C367C5CB0777}"/>
            </c:ext>
          </c:extLst>
        </c:ser>
        <c:ser>
          <c:idx val="2"/>
          <c:order val="2"/>
          <c:tx>
            <c:strRef>
              <c:f>'Sample report format'!$S$36</c:f>
              <c:strCache>
                <c:ptCount val="1"/>
                <c:pt idx="0">
                  <c:v>L3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format'!$P$37:$P$42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format'!$S$37:$S$42</c:f>
              <c:numCache>
                <c:formatCode>General</c:formatCode>
                <c:ptCount val="6"/>
                <c:pt idx="0">
                  <c:v>-0.39200000000000002</c:v>
                </c:pt>
                <c:pt idx="1">
                  <c:v>-0.10899999999999999</c:v>
                </c:pt>
                <c:pt idx="2">
                  <c:v>-0.22399999999999995</c:v>
                </c:pt>
                <c:pt idx="3">
                  <c:v>-1.1300000000000001</c:v>
                </c:pt>
                <c:pt idx="4">
                  <c:v>4.0000000000000001E-3</c:v>
                </c:pt>
                <c:pt idx="5">
                  <c:v>-0.2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3-44F7-B284-C367C5CB0777}"/>
            </c:ext>
          </c:extLst>
        </c:ser>
        <c:ser>
          <c:idx val="3"/>
          <c:order val="3"/>
          <c:tx>
            <c:strRef>
              <c:f>'Sample report format'!$T$36</c:f>
              <c:strCache>
                <c:ptCount val="1"/>
                <c:pt idx="0">
                  <c:v>R1</c:v>
                </c:pt>
              </c:strCache>
            </c:strRef>
          </c:tx>
          <c:spPr>
            <a:ln w="28575" cap="rnd">
              <a:solidFill>
                <a:srgbClr val="9E0000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format'!$P$37:$P$42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format'!$T$37:$T$42</c:f>
              <c:numCache>
                <c:formatCode>General</c:formatCode>
                <c:ptCount val="6"/>
                <c:pt idx="0">
                  <c:v>-0.26050000000000001</c:v>
                </c:pt>
                <c:pt idx="1">
                  <c:v>-0.35799999999999998</c:v>
                </c:pt>
                <c:pt idx="2">
                  <c:v>-0.40866666666666673</c:v>
                </c:pt>
                <c:pt idx="3">
                  <c:v>-0.57000000000000006</c:v>
                </c:pt>
                <c:pt idx="4">
                  <c:v>-0.60199999999999998</c:v>
                </c:pt>
                <c:pt idx="5">
                  <c:v>-0.46799999999999997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03-44F7-B284-C367C5CB0777}"/>
            </c:ext>
          </c:extLst>
        </c:ser>
        <c:ser>
          <c:idx val="4"/>
          <c:order val="4"/>
          <c:tx>
            <c:strRef>
              <c:f>'Sample report format'!$U$36</c:f>
              <c:strCache>
                <c:ptCount val="1"/>
                <c:pt idx="0">
                  <c:v>R2</c:v>
                </c:pt>
              </c:strCache>
            </c:strRef>
          </c:tx>
          <c:spPr>
            <a:ln w="28575" cap="rnd">
              <a:solidFill>
                <a:srgbClr val="E44A4A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format'!$P$37:$P$42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format'!$U$37:$U$42</c:f>
              <c:numCache>
                <c:formatCode>General</c:formatCode>
                <c:ptCount val="6"/>
                <c:pt idx="0">
                  <c:v>-0.20099999999999998</c:v>
                </c:pt>
                <c:pt idx="1">
                  <c:v>-0.33899999999999997</c:v>
                </c:pt>
                <c:pt idx="2">
                  <c:v>-0.17666666666666669</c:v>
                </c:pt>
                <c:pt idx="3">
                  <c:v>-0.89800000000000002</c:v>
                </c:pt>
                <c:pt idx="4">
                  <c:v>-0.30599999999999999</c:v>
                </c:pt>
                <c:pt idx="5">
                  <c:v>-0.41799999999999998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03-44F7-B284-C367C5CB0777}"/>
            </c:ext>
          </c:extLst>
        </c:ser>
        <c:ser>
          <c:idx val="5"/>
          <c:order val="5"/>
          <c:tx>
            <c:strRef>
              <c:f>'Sample report format'!$V$36</c:f>
              <c:strCache>
                <c:ptCount val="1"/>
                <c:pt idx="0">
                  <c:v>R3</c:v>
                </c:pt>
              </c:strCache>
            </c:strRef>
          </c:tx>
          <c:spPr>
            <a:ln w="28575" cap="rnd">
              <a:solidFill>
                <a:srgbClr val="F49696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format'!$P$37:$P$42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format'!$V$37:$V$42</c:f>
              <c:numCache>
                <c:formatCode>General</c:formatCode>
                <c:ptCount val="6"/>
                <c:pt idx="0">
                  <c:v>-0.49000000000000005</c:v>
                </c:pt>
                <c:pt idx="1">
                  <c:v>-2.0999999999999998E-2</c:v>
                </c:pt>
                <c:pt idx="2">
                  <c:v>2.6000000000000037E-2</c:v>
                </c:pt>
                <c:pt idx="3">
                  <c:v>-0.378</c:v>
                </c:pt>
                <c:pt idx="4">
                  <c:v>-0.308</c:v>
                </c:pt>
                <c:pt idx="5">
                  <c:v>-0.58799999999999997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03-44F7-B284-C367C5CB0777}"/>
            </c:ext>
          </c:extLst>
        </c:ser>
        <c:ser>
          <c:idx val="6"/>
          <c:order val="6"/>
          <c:tx>
            <c:strRef>
              <c:f>'Sample report format'!$W$36</c:f>
              <c:strCache>
                <c:ptCount val="1"/>
                <c:pt idx="0">
                  <c:v>zero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'Sample report format'!$P$37:$P$42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format'!$W$37:$W$42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03-44F7-B284-C367C5CB0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421007"/>
        <c:axId val="515427727"/>
      </c:radarChart>
      <c:catAx>
        <c:axId val="51542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27727"/>
        <c:crosses val="autoZero"/>
        <c:auto val="1"/>
        <c:lblAlgn val="ctr"/>
        <c:lblOffset val="100"/>
        <c:noMultiLvlLbl val="0"/>
      </c:catAx>
      <c:valAx>
        <c:axId val="5154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2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 Knee Valgus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'Sample report format'!$AA$37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format'!$AB$36:$AG$36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format'!$AB$37:$AG$37</c:f>
              <c:numCache>
                <c:formatCode>General</c:formatCode>
                <c:ptCount val="6"/>
                <c:pt idx="0">
                  <c:v>9.33</c:v>
                </c:pt>
                <c:pt idx="1">
                  <c:v>4.93</c:v>
                </c:pt>
                <c:pt idx="2">
                  <c:v>12.03</c:v>
                </c:pt>
                <c:pt idx="3">
                  <c:v>-10.63</c:v>
                </c:pt>
                <c:pt idx="4">
                  <c:v>0.92</c:v>
                </c:pt>
                <c:pt idx="5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3-4818-A23C-0F0AF34B1977}"/>
            </c:ext>
          </c:extLst>
        </c:ser>
        <c:ser>
          <c:idx val="1"/>
          <c:order val="1"/>
          <c:tx>
            <c:strRef>
              <c:f>'Sample report format'!$AA$38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format'!$AB$36:$AG$36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format'!$AB$38:$AG$38</c:f>
              <c:numCache>
                <c:formatCode>General</c:formatCode>
                <c:ptCount val="6"/>
                <c:pt idx="0">
                  <c:v>0.2</c:v>
                </c:pt>
                <c:pt idx="1">
                  <c:v>3.57</c:v>
                </c:pt>
                <c:pt idx="2">
                  <c:v>11.69</c:v>
                </c:pt>
                <c:pt idx="3">
                  <c:v>-7.2</c:v>
                </c:pt>
                <c:pt idx="4">
                  <c:v>0.55000000000000004</c:v>
                </c:pt>
                <c:pt idx="5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3-4818-A23C-0F0AF34B1977}"/>
            </c:ext>
          </c:extLst>
        </c:ser>
        <c:ser>
          <c:idx val="2"/>
          <c:order val="2"/>
          <c:tx>
            <c:strRef>
              <c:f>'Sample report format'!$AA$39</c:f>
              <c:strCache>
                <c:ptCount val="1"/>
                <c:pt idx="0">
                  <c:v>L3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format'!$AB$36:$AG$36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format'!$AB$39:$AG$39</c:f>
              <c:numCache>
                <c:formatCode>General</c:formatCode>
                <c:ptCount val="6"/>
                <c:pt idx="0">
                  <c:v>2.16</c:v>
                </c:pt>
                <c:pt idx="1">
                  <c:v>3.91</c:v>
                </c:pt>
                <c:pt idx="2">
                  <c:v>11.64</c:v>
                </c:pt>
                <c:pt idx="3">
                  <c:v>-11.3</c:v>
                </c:pt>
                <c:pt idx="4">
                  <c:v>0.02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53-4818-A23C-0F0AF34B1977}"/>
            </c:ext>
          </c:extLst>
        </c:ser>
        <c:ser>
          <c:idx val="3"/>
          <c:order val="3"/>
          <c:tx>
            <c:strRef>
              <c:f>'Sample report format'!$AA$40</c:f>
              <c:strCache>
                <c:ptCount val="1"/>
                <c:pt idx="0">
                  <c:v>R1</c:v>
                </c:pt>
              </c:strCache>
            </c:strRef>
          </c:tx>
          <c:spPr>
            <a:ln w="28575" cap="rnd">
              <a:solidFill>
                <a:srgbClr val="9E0000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format'!$AB$36:$AG$36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format'!$AB$40:$AG$40</c:f>
              <c:numCache>
                <c:formatCode>General</c:formatCode>
                <c:ptCount val="6"/>
                <c:pt idx="0">
                  <c:v>4.79</c:v>
                </c:pt>
                <c:pt idx="1">
                  <c:v>1.42</c:v>
                </c:pt>
                <c:pt idx="2">
                  <c:v>8.8699999999999992</c:v>
                </c:pt>
                <c:pt idx="3">
                  <c:v>-5.7</c:v>
                </c:pt>
                <c:pt idx="4">
                  <c:v>-3.01</c:v>
                </c:pt>
                <c:pt idx="5">
                  <c:v>-0.34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53-4818-A23C-0F0AF34B1977}"/>
            </c:ext>
          </c:extLst>
        </c:ser>
        <c:ser>
          <c:idx val="4"/>
          <c:order val="4"/>
          <c:tx>
            <c:strRef>
              <c:f>'Sample report format'!$AA$41</c:f>
              <c:strCache>
                <c:ptCount val="1"/>
                <c:pt idx="0">
                  <c:v>R2</c:v>
                </c:pt>
              </c:strCache>
            </c:strRef>
          </c:tx>
          <c:spPr>
            <a:ln w="28575" cap="rnd">
              <a:solidFill>
                <a:srgbClr val="E44A4A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format'!$AB$36:$AG$36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format'!$AB$41:$AG$41</c:f>
              <c:numCache>
                <c:formatCode>General</c:formatCode>
                <c:ptCount val="6"/>
                <c:pt idx="0">
                  <c:v>5.98</c:v>
                </c:pt>
                <c:pt idx="1">
                  <c:v>1.61</c:v>
                </c:pt>
                <c:pt idx="2">
                  <c:v>12.35</c:v>
                </c:pt>
                <c:pt idx="3">
                  <c:v>-8.98</c:v>
                </c:pt>
                <c:pt idx="4">
                  <c:v>-1.53</c:v>
                </c:pt>
                <c:pt idx="5">
                  <c:v>-0.09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53-4818-A23C-0F0AF34B1977}"/>
            </c:ext>
          </c:extLst>
        </c:ser>
        <c:ser>
          <c:idx val="5"/>
          <c:order val="5"/>
          <c:tx>
            <c:strRef>
              <c:f>'Sample report format'!$AA$42</c:f>
              <c:strCache>
                <c:ptCount val="1"/>
                <c:pt idx="0">
                  <c:v>R3</c:v>
                </c:pt>
              </c:strCache>
            </c:strRef>
          </c:tx>
          <c:spPr>
            <a:ln w="28575" cap="rnd">
              <a:solidFill>
                <a:srgbClr val="F49696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format'!$AB$36:$AG$36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format'!$AB$42:$AG$42</c:f>
              <c:numCache>
                <c:formatCode>General</c:formatCode>
                <c:ptCount val="6"/>
                <c:pt idx="0">
                  <c:v>0.2</c:v>
                </c:pt>
                <c:pt idx="1">
                  <c:v>4.79</c:v>
                </c:pt>
                <c:pt idx="2">
                  <c:v>15.39</c:v>
                </c:pt>
                <c:pt idx="3">
                  <c:v>-3.78</c:v>
                </c:pt>
                <c:pt idx="4">
                  <c:v>-1.54</c:v>
                </c:pt>
                <c:pt idx="5">
                  <c:v>-0.94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53-4818-A23C-0F0AF34B1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181215"/>
        <c:axId val="657209055"/>
      </c:lineChart>
      <c:catAx>
        <c:axId val="65718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22225" cap="flat" cmpd="sng" algn="ctr">
            <a:solidFill>
              <a:schemeClr val="accent1">
                <a:lumMod val="6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09055"/>
        <c:crosses val="autoZero"/>
        <c:auto val="1"/>
        <c:lblAlgn val="ctr"/>
        <c:lblOffset val="100"/>
        <c:noMultiLvlLbl val="0"/>
      </c:catAx>
      <c:valAx>
        <c:axId val="657209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81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</a:t>
            </a:r>
            <a:r>
              <a:rPr lang="en-US" baseline="0"/>
              <a:t> Knee Valgus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'Sample report format'!$AA$62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format'!$AB$61:$AG$61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format'!$AB$62:$AG$62</c:f>
              <c:numCache>
                <c:formatCode>General</c:formatCode>
                <c:ptCount val="6"/>
                <c:pt idx="0">
                  <c:v>-3.3499999999999995E-2</c:v>
                </c:pt>
                <c:pt idx="1">
                  <c:v>-7.0000000000000288E-3</c:v>
                </c:pt>
                <c:pt idx="2">
                  <c:v>-0.19800000000000004</c:v>
                </c:pt>
                <c:pt idx="3">
                  <c:v>-1.0630000000000002</c:v>
                </c:pt>
                <c:pt idx="4">
                  <c:v>0.184</c:v>
                </c:pt>
                <c:pt idx="5">
                  <c:v>-2.5999999999999978E-2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8-45AD-93D6-FF71C4269A55}"/>
            </c:ext>
          </c:extLst>
        </c:ser>
        <c:ser>
          <c:idx val="1"/>
          <c:order val="1"/>
          <c:tx>
            <c:strRef>
              <c:f>'Sample report format'!$AA$63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format'!$AB$61:$AG$61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format'!$AB$63:$AG$63</c:f>
              <c:numCache>
                <c:formatCode>General</c:formatCode>
                <c:ptCount val="6"/>
                <c:pt idx="0">
                  <c:v>-0.49000000000000005</c:v>
                </c:pt>
                <c:pt idx="1">
                  <c:v>-0.14300000000000002</c:v>
                </c:pt>
                <c:pt idx="2">
                  <c:v>-0.22066666666666671</c:v>
                </c:pt>
                <c:pt idx="3">
                  <c:v>-0.72</c:v>
                </c:pt>
                <c:pt idx="4">
                  <c:v>0.11000000000000001</c:v>
                </c:pt>
                <c:pt idx="5">
                  <c:v>-0.21600000000000003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8-45AD-93D6-FF71C4269A55}"/>
            </c:ext>
          </c:extLst>
        </c:ser>
        <c:ser>
          <c:idx val="2"/>
          <c:order val="2"/>
          <c:tx>
            <c:strRef>
              <c:f>'Sample report format'!$AA$64</c:f>
              <c:strCache>
                <c:ptCount val="1"/>
                <c:pt idx="0">
                  <c:v>L3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format'!$AB$61:$AG$61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format'!$AB$64:$AG$64</c:f>
              <c:numCache>
                <c:formatCode>General</c:formatCode>
                <c:ptCount val="6"/>
                <c:pt idx="0">
                  <c:v>-0.39200000000000002</c:v>
                </c:pt>
                <c:pt idx="1">
                  <c:v>-0.10899999999999999</c:v>
                </c:pt>
                <c:pt idx="2">
                  <c:v>-0.22399999999999995</c:v>
                </c:pt>
                <c:pt idx="3">
                  <c:v>-1.1300000000000001</c:v>
                </c:pt>
                <c:pt idx="4">
                  <c:v>4.0000000000000001E-3</c:v>
                </c:pt>
                <c:pt idx="5">
                  <c:v>-0.2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D8-45AD-93D6-FF71C4269A55}"/>
            </c:ext>
          </c:extLst>
        </c:ser>
        <c:ser>
          <c:idx val="3"/>
          <c:order val="3"/>
          <c:tx>
            <c:strRef>
              <c:f>'Sample report format'!$AA$65</c:f>
              <c:strCache>
                <c:ptCount val="1"/>
                <c:pt idx="0">
                  <c:v>R1</c:v>
                </c:pt>
              </c:strCache>
            </c:strRef>
          </c:tx>
          <c:spPr>
            <a:ln w="28575" cap="rnd">
              <a:solidFill>
                <a:srgbClr val="9E0000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format'!$AB$61:$AG$61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format'!$AB$65:$AG$65</c:f>
              <c:numCache>
                <c:formatCode>General</c:formatCode>
                <c:ptCount val="6"/>
                <c:pt idx="0">
                  <c:v>-0.26050000000000001</c:v>
                </c:pt>
                <c:pt idx="1">
                  <c:v>-0.35799999999999998</c:v>
                </c:pt>
                <c:pt idx="2">
                  <c:v>-0.40866666666666673</c:v>
                </c:pt>
                <c:pt idx="3">
                  <c:v>-0.57000000000000006</c:v>
                </c:pt>
                <c:pt idx="4">
                  <c:v>-0.60199999999999998</c:v>
                </c:pt>
                <c:pt idx="5">
                  <c:v>-0.46799999999999997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D8-45AD-93D6-FF71C4269A55}"/>
            </c:ext>
          </c:extLst>
        </c:ser>
        <c:ser>
          <c:idx val="4"/>
          <c:order val="4"/>
          <c:tx>
            <c:strRef>
              <c:f>'Sample report format'!$AA$66</c:f>
              <c:strCache>
                <c:ptCount val="1"/>
                <c:pt idx="0">
                  <c:v>R2</c:v>
                </c:pt>
              </c:strCache>
            </c:strRef>
          </c:tx>
          <c:spPr>
            <a:ln w="28575" cap="rnd">
              <a:solidFill>
                <a:srgbClr val="E44A4A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format'!$AB$61:$AG$61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format'!$AB$66:$AG$66</c:f>
              <c:numCache>
                <c:formatCode>General</c:formatCode>
                <c:ptCount val="6"/>
                <c:pt idx="0">
                  <c:v>-0.20099999999999998</c:v>
                </c:pt>
                <c:pt idx="1">
                  <c:v>-0.33899999999999997</c:v>
                </c:pt>
                <c:pt idx="2">
                  <c:v>-0.17666666666666669</c:v>
                </c:pt>
                <c:pt idx="3">
                  <c:v>-0.89800000000000002</c:v>
                </c:pt>
                <c:pt idx="4">
                  <c:v>-0.30599999999999999</c:v>
                </c:pt>
                <c:pt idx="5">
                  <c:v>-0.41799999999999998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D8-45AD-93D6-FF71C4269A55}"/>
            </c:ext>
          </c:extLst>
        </c:ser>
        <c:ser>
          <c:idx val="5"/>
          <c:order val="5"/>
          <c:tx>
            <c:strRef>
              <c:f>'Sample report format'!$AA$67</c:f>
              <c:strCache>
                <c:ptCount val="1"/>
                <c:pt idx="0">
                  <c:v>R3</c:v>
                </c:pt>
              </c:strCache>
            </c:strRef>
          </c:tx>
          <c:spPr>
            <a:ln w="28575" cap="rnd">
              <a:solidFill>
                <a:srgbClr val="F49696"/>
              </a:solidFill>
              <a:round/>
            </a:ln>
            <a:effectLst/>
          </c:spPr>
          <c:marker>
            <c:symbol val="none"/>
          </c:marker>
          <c:cat>
            <c:strRef>
              <c:f>'Sample report format'!$AB$61:$AG$61</c:f>
              <c:strCache>
                <c:ptCount val="6"/>
                <c:pt idx="0">
                  <c:v>Lateral Trunk Lean</c:v>
                </c:pt>
                <c:pt idx="1">
                  <c:v>Pelvic Obliquity</c:v>
                </c:pt>
                <c:pt idx="2">
                  <c:v>Hip Adduction HET</c:v>
                </c:pt>
                <c:pt idx="3">
                  <c:v>Hip Adduction DVJ</c:v>
                </c:pt>
                <c:pt idx="4">
                  <c:v>Knee valgus HET</c:v>
                </c:pt>
                <c:pt idx="5">
                  <c:v>Knee valgus DVJ</c:v>
                </c:pt>
              </c:strCache>
            </c:strRef>
          </c:cat>
          <c:val>
            <c:numRef>
              <c:f>'Sample report format'!$AB$67:$AG$67</c:f>
              <c:numCache>
                <c:formatCode>General</c:formatCode>
                <c:ptCount val="6"/>
                <c:pt idx="0">
                  <c:v>-0.49000000000000005</c:v>
                </c:pt>
                <c:pt idx="1">
                  <c:v>-2.0999999999999998E-2</c:v>
                </c:pt>
                <c:pt idx="2">
                  <c:v>2.6000000000000037E-2</c:v>
                </c:pt>
                <c:pt idx="3">
                  <c:v>-0.378</c:v>
                </c:pt>
                <c:pt idx="4">
                  <c:v>-0.308</c:v>
                </c:pt>
                <c:pt idx="5">
                  <c:v>-0.58799999999999997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D8-45AD-93D6-FF71C426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17503"/>
        <c:axId val="551114623"/>
      </c:lineChart>
      <c:catAx>
        <c:axId val="55111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114623"/>
        <c:crosses val="autoZero"/>
        <c:auto val="1"/>
        <c:lblAlgn val="ctr"/>
        <c:lblOffset val="100"/>
        <c:noMultiLvlLbl val="0"/>
      </c:catAx>
      <c:valAx>
        <c:axId val="551114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111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Sample'!$E$2</c:f>
              <c:strCache>
                <c:ptCount val="1"/>
                <c:pt idx="0">
                  <c:v>Lateral Trunk 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Sample'!$F$1:$I$1</c15:sqref>
                  </c15:fullRef>
                </c:ext>
              </c:extLst>
              <c:f>'Simple Sample'!$I$1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Sample'!$F$2:$I$2</c15:sqref>
                  </c15:fullRef>
                </c:ext>
              </c:extLst>
              <c:f>'Simple Sample'!$I$2</c:f>
              <c:numCache>
                <c:formatCode>General</c:formatCode>
                <c:ptCount val="1"/>
                <c:pt idx="0" formatCode="0.00">
                  <c:v>3.8966666666666665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9-4877-B279-4A99CC860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1434720"/>
        <c:axId val="1759718544"/>
      </c:barChart>
      <c:catAx>
        <c:axId val="16014347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18544"/>
        <c:crosses val="autoZero"/>
        <c:auto val="1"/>
        <c:lblAlgn val="ctr"/>
        <c:lblOffset val="100"/>
        <c:noMultiLvlLbl val="0"/>
      </c:catAx>
      <c:valAx>
        <c:axId val="1759718544"/>
        <c:scaling>
          <c:orientation val="maxMin"/>
          <c:max val="12"/>
          <c:min val="-1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Contralateral</a:t>
                </a:r>
                <a:r>
                  <a:rPr lang="en-US" baseline="0"/>
                  <a:t>                              Ipsilateral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014347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Sample'!$J$2</c:f>
              <c:strCache>
                <c:ptCount val="1"/>
                <c:pt idx="0">
                  <c:v>Lateral Trunk Lean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Sample'!$K$1:$N$1</c15:sqref>
                  </c15:fullRef>
                </c:ext>
              </c:extLst>
              <c:f>'Simple Sample'!$N$1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Sample'!$K$2:$N$2</c15:sqref>
                  </c15:fullRef>
                </c:ext>
              </c:extLst>
              <c:f>'Simple Sample'!$N$2</c:f>
              <c:numCache>
                <c:formatCode>General</c:formatCode>
                <c:ptCount val="1"/>
                <c:pt idx="0" formatCode="0.00">
                  <c:v>3.6566666666666663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9-4C89-A3D2-4C66C93F7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2052640"/>
        <c:axId val="1591151872"/>
      </c:barChart>
      <c:catAx>
        <c:axId val="175205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51872"/>
        <c:crosses val="autoZero"/>
        <c:auto val="1"/>
        <c:lblAlgn val="ctr"/>
        <c:lblOffset val="100"/>
        <c:noMultiLvlLbl val="0"/>
      </c:catAx>
      <c:valAx>
        <c:axId val="1591151872"/>
        <c:scaling>
          <c:orientation val="minMax"/>
          <c:max val="12"/>
          <c:min val="-1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Ipsilateral</a:t>
                </a:r>
                <a:r>
                  <a:rPr lang="en-US" baseline="0"/>
                  <a:t>                              Contralateral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crossAx val="17520526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Sample'!$L$15</c:f>
              <c:strCache>
                <c:ptCount val="1"/>
                <c:pt idx="0">
                  <c:v>Trunk Sym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'Simple Sample'!$M$15</c:f>
              <c:numCache>
                <c:formatCode>0.0%</c:formatCode>
                <c:ptCount val="1"/>
                <c:pt idx="0">
                  <c:v>1.2000000000000011E-2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A-4BA9-806A-DE7A872EC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683312"/>
        <c:axId val="1759682832"/>
      </c:barChart>
      <c:catAx>
        <c:axId val="175968331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solidFill>
            <a:schemeClr val="tx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2832"/>
        <c:crossesAt val="0"/>
        <c:auto val="1"/>
        <c:lblAlgn val="ctr"/>
        <c:lblOffset val="100"/>
        <c:noMultiLvlLbl val="0"/>
      </c:catAx>
      <c:valAx>
        <c:axId val="1759682832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331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Sample'!$E$4</c:f>
              <c:strCache>
                <c:ptCount val="1"/>
                <c:pt idx="0">
                  <c:v>Pelvic Obliquity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Sample'!$F$3:$I$3</c15:sqref>
                  </c15:fullRef>
                </c:ext>
              </c:extLst>
              <c:f>'Simple Sample'!$I$3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Sample'!$F$4:$I$4</c15:sqref>
                  </c15:fullRef>
                </c:ext>
              </c:extLst>
              <c:f>'Simple Sample'!$I$4</c:f>
              <c:numCache>
                <c:formatCode>General</c:formatCode>
                <c:ptCount val="1"/>
                <c:pt idx="0" formatCode="0.00">
                  <c:v>4.1366666666666667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E-429B-A046-B14330C39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700688"/>
        <c:axId val="1591702128"/>
      </c:barChart>
      <c:catAx>
        <c:axId val="159170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02128"/>
        <c:crosses val="autoZero"/>
        <c:auto val="1"/>
        <c:lblAlgn val="ctr"/>
        <c:lblOffset val="100"/>
        <c:noMultiLvlLbl val="0"/>
      </c:catAx>
      <c:valAx>
        <c:axId val="1591702128"/>
        <c:scaling>
          <c:orientation val="minMax"/>
          <c:max val="6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Down                       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59170068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Sample'!$J$4</c:f>
              <c:strCache>
                <c:ptCount val="1"/>
                <c:pt idx="0">
                  <c:v>Pelvic Obliquity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Sample'!$K$3:$N$3</c15:sqref>
                  </c15:fullRef>
                </c:ext>
              </c:extLst>
              <c:f>'Simple Sample'!$N$3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Sample'!$K$4:$N$4</c15:sqref>
                  </c15:fullRef>
                </c:ext>
              </c:extLst>
              <c:f>'Simple Sample'!$N$4</c:f>
              <c:numCache>
                <c:formatCode>General</c:formatCode>
                <c:ptCount val="1"/>
                <c:pt idx="0" formatCode="0.00">
                  <c:v>2.6066666666666669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A-4DB5-8F00-C7A26D476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289264"/>
        <c:axId val="1591369024"/>
      </c:barChart>
      <c:catAx>
        <c:axId val="17702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69024"/>
        <c:crosses val="autoZero"/>
        <c:auto val="1"/>
        <c:lblAlgn val="ctr"/>
        <c:lblOffset val="100"/>
        <c:noMultiLvlLbl val="0"/>
      </c:catAx>
      <c:valAx>
        <c:axId val="1591369024"/>
        <c:scaling>
          <c:orientation val="minMax"/>
          <c:max val="6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                        Up</a:t>
                </a:r>
              </a:p>
            </c:rich>
          </c:tx>
          <c:layout>
            <c:manualLayout>
              <c:xMode val="edge"/>
              <c:yMode val="edge"/>
              <c:x val="0.93966252332912237"/>
              <c:y val="0.17425925925925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77028926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Sample'!$L$16</c:f>
              <c:strCache>
                <c:ptCount val="1"/>
                <c:pt idx="0">
                  <c:v>Pelvic Sym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'Simple Sample'!$M$16</c:f>
              <c:numCache>
                <c:formatCode>0.0%</c:formatCode>
                <c:ptCount val="1"/>
                <c:pt idx="0">
                  <c:v>0.15299999999999997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3-42AD-9F5A-C368E50BC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3051072"/>
        <c:axId val="1783049632"/>
      </c:barChart>
      <c:catAx>
        <c:axId val="178305107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049632"/>
        <c:crosses val="autoZero"/>
        <c:auto val="1"/>
        <c:lblAlgn val="ctr"/>
        <c:lblOffset val="100"/>
        <c:noMultiLvlLbl val="0"/>
      </c:catAx>
      <c:valAx>
        <c:axId val="1783049632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05107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Sample'!$E$6</c:f>
              <c:strCache>
                <c:ptCount val="1"/>
                <c:pt idx="0">
                  <c:v>HET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Sample'!$F$5:$I$5</c15:sqref>
                  </c15:fullRef>
                </c:ext>
              </c:extLst>
              <c:f>'Simple Sample'!$I$5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Sample'!$F$6:$I$6</c15:sqref>
                  </c15:fullRef>
                </c:ext>
              </c:extLst>
              <c:f>'Simple Sample'!$I$6</c:f>
              <c:numCache>
                <c:formatCode>General</c:formatCode>
                <c:ptCount val="1"/>
                <c:pt idx="0" formatCode="0.00">
                  <c:v>11.786666666666667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E-4AF1-B88C-DE4C855C0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3986128"/>
        <c:axId val="1823992848"/>
      </c:barChart>
      <c:catAx>
        <c:axId val="18239861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92848"/>
        <c:crosses val="autoZero"/>
        <c:auto val="1"/>
        <c:lblAlgn val="ctr"/>
        <c:lblOffset val="100"/>
        <c:noMultiLvlLbl val="0"/>
      </c:catAx>
      <c:valAx>
        <c:axId val="1823992848"/>
        <c:scaling>
          <c:orientation val="maxMin"/>
          <c:max val="20"/>
          <c:min val="-2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Adduction                              Abduction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2398612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Sample'!$J$6</c:f>
              <c:strCache>
                <c:ptCount val="1"/>
                <c:pt idx="0">
                  <c:v>HET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Sample'!$K$5:$N$5</c15:sqref>
                  </c15:fullRef>
                </c:ext>
              </c:extLst>
              <c:f>'Simple Sample'!$N$5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Sample'!$K$6:$N$6</c15:sqref>
                  </c15:fullRef>
                </c:ext>
              </c:extLst>
              <c:f>'Simple Sample'!$N$6</c:f>
              <c:numCache>
                <c:formatCode>General</c:formatCode>
                <c:ptCount val="1"/>
                <c:pt idx="0" formatCode="0.00">
                  <c:v>12.203333333333333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F-4F1E-97CE-FB1D3A392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2622784"/>
        <c:axId val="1822628544"/>
      </c:barChart>
      <c:catAx>
        <c:axId val="182262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28544"/>
        <c:crosses val="autoZero"/>
        <c:auto val="1"/>
        <c:lblAlgn val="ctr"/>
        <c:lblOffset val="100"/>
        <c:noMultiLvlLbl val="0"/>
      </c:catAx>
      <c:valAx>
        <c:axId val="1822628544"/>
        <c:scaling>
          <c:orientation val="minMax"/>
          <c:max val="20"/>
          <c:min val="-2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Abduction                              Adduction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22622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'Simple Sample'!$L$17</c:f>
              <c:strCache>
                <c:ptCount val="1"/>
                <c:pt idx="0">
                  <c:v>HET</c:v>
                </c:pt>
              </c:strCache>
            </c:strRef>
          </c:cat>
          <c:val>
            <c:numRef>
              <c:f>'Simple Sample'!$M$17</c:f>
              <c:numCache>
                <c:formatCode>0.0%</c:formatCode>
                <c:ptCount val="1"/>
                <c:pt idx="0">
                  <c:v>-2.7777777777777738E-2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C-4A52-A039-204DAFED9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3566624"/>
        <c:axId val="1773556544"/>
      </c:barChart>
      <c:catAx>
        <c:axId val="177356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56544"/>
        <c:crosses val="autoZero"/>
        <c:auto val="1"/>
        <c:lblAlgn val="ctr"/>
        <c:lblOffset val="100"/>
        <c:noMultiLvlLbl val="0"/>
      </c:catAx>
      <c:valAx>
        <c:axId val="1773556544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666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Sample'!$J$8</c:f>
              <c:strCache>
                <c:ptCount val="1"/>
                <c:pt idx="0">
                  <c:v>DVJ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Sample'!$K$7:$N$7</c15:sqref>
                  </c15:fullRef>
                </c:ext>
              </c:extLst>
              <c:f>'Simple Sample'!$N$7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Sample'!$K$8:$N$8</c15:sqref>
                  </c15:fullRef>
                </c:ext>
              </c:extLst>
              <c:f>'Simple Sample'!$N$8</c:f>
              <c:numCache>
                <c:formatCode>General</c:formatCode>
                <c:ptCount val="1"/>
                <c:pt idx="0" formatCode="0.00">
                  <c:v>-6.1533333333333333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D-40FD-9191-14699B495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2622784"/>
        <c:axId val="1822628544"/>
      </c:barChart>
      <c:catAx>
        <c:axId val="182262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28544"/>
        <c:crosses val="autoZero"/>
        <c:auto val="1"/>
        <c:lblAlgn val="ctr"/>
        <c:lblOffset val="100"/>
        <c:noMultiLvlLbl val="0"/>
      </c:catAx>
      <c:valAx>
        <c:axId val="1822628544"/>
        <c:scaling>
          <c:orientation val="minMax"/>
          <c:max val="20"/>
          <c:min val="-2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Abduction                              Adduction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22622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Sample'!$E$8</c:f>
              <c:strCache>
                <c:ptCount val="1"/>
                <c:pt idx="0">
                  <c:v>DVJ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Sample'!$F$7:$I$7</c15:sqref>
                  </c15:fullRef>
                </c:ext>
              </c:extLst>
              <c:f>'Simple Sample'!$I$7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Sample'!$F$8:$I$8</c15:sqref>
                  </c15:fullRef>
                </c:ext>
              </c:extLst>
              <c:f>'Simple Sample'!$I$8</c:f>
              <c:numCache>
                <c:formatCode>General</c:formatCode>
                <c:ptCount val="1"/>
                <c:pt idx="0" formatCode="0.00">
                  <c:v>-9.7100000000000009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2-4562-820E-4B7089AE6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3986128"/>
        <c:axId val="1823992848"/>
      </c:barChart>
      <c:catAx>
        <c:axId val="18239861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92848"/>
        <c:crosses val="autoZero"/>
        <c:auto val="1"/>
        <c:lblAlgn val="ctr"/>
        <c:lblOffset val="100"/>
        <c:noMultiLvlLbl val="0"/>
      </c:catAx>
      <c:valAx>
        <c:axId val="1823992848"/>
        <c:scaling>
          <c:orientation val="maxMin"/>
          <c:max val="20"/>
          <c:min val="-2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Adduction                              Abduction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2398612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'Simple Sample'!$L$18</c:f>
              <c:strCache>
                <c:ptCount val="1"/>
                <c:pt idx="0">
                  <c:v>DVJ</c:v>
                </c:pt>
              </c:strCache>
            </c:strRef>
          </c:cat>
          <c:val>
            <c:numRef>
              <c:f>'Simple Sample'!$M$18</c:f>
              <c:numCache>
                <c:formatCode>0.0%</c:formatCode>
                <c:ptCount val="1"/>
                <c:pt idx="0">
                  <c:v>-0.35566666666666674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4-4C7A-83E8-9CFAE6C1F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3566624"/>
        <c:axId val="1773556544"/>
      </c:barChart>
      <c:catAx>
        <c:axId val="177356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56544"/>
        <c:crosses val="autoZero"/>
        <c:auto val="1"/>
        <c:lblAlgn val="ctr"/>
        <c:lblOffset val="100"/>
        <c:noMultiLvlLbl val="0"/>
      </c:catAx>
      <c:valAx>
        <c:axId val="1773556544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666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Sample'!$R$2</c:f>
              <c:strCache>
                <c:ptCount val="1"/>
                <c:pt idx="0">
                  <c:v>Heel Touch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Sample'!$S$1:$V$1</c15:sqref>
                  </c15:fullRef>
                </c:ext>
              </c:extLst>
              <c:f>'Simple Sample'!$V$1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Sample'!$S$2:$V$2</c15:sqref>
                  </c15:fullRef>
                </c:ext>
              </c:extLst>
              <c:f>'Simple Sample'!$V$2</c:f>
              <c:numCache>
                <c:formatCode>0.00</c:formatCode>
                <c:ptCount val="1"/>
                <c:pt idx="0">
                  <c:v>17.416666666666668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E-4016-BF5C-6484F61FB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960"/>
        <c:axId val="690007920"/>
      </c:barChart>
      <c:catAx>
        <c:axId val="69000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7920"/>
        <c:crosses val="autoZero"/>
        <c:auto val="1"/>
        <c:lblAlgn val="ctr"/>
        <c:lblOffset val="100"/>
        <c:noMultiLvlLbl val="0"/>
      </c:catAx>
      <c:valAx>
        <c:axId val="690007920"/>
        <c:scaling>
          <c:orientation val="minMax"/>
          <c:max val="5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Forward</a:t>
                </a:r>
                <a:r>
                  <a:rPr lang="en-US" baseline="0"/>
                  <a:t> Trunk Flexion (deg)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crossAx val="69000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Sample'!$X$2</c:f>
              <c:strCache>
                <c:ptCount val="1"/>
                <c:pt idx="0">
                  <c:v>Heel Touch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Sample'!$Y$1:$AB$1</c15:sqref>
                  </c15:fullRef>
                </c:ext>
              </c:extLst>
              <c:f>'Simple Sample'!$AB$1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Sample'!$Y$2:$AB$2</c15:sqref>
                  </c15:fullRef>
                </c:ext>
              </c:extLst>
              <c:f>'Simple Sample'!$AB$2</c:f>
              <c:numCache>
                <c:formatCode>0.00</c:formatCode>
                <c:ptCount val="1"/>
                <c:pt idx="0">
                  <c:v>18.940000000000001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A-4B3C-9F8F-B695BFA08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960"/>
        <c:axId val="690007920"/>
      </c:barChart>
      <c:catAx>
        <c:axId val="6900069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7920"/>
        <c:crosses val="autoZero"/>
        <c:auto val="1"/>
        <c:lblAlgn val="ctr"/>
        <c:lblOffset val="100"/>
        <c:noMultiLvlLbl val="0"/>
      </c:catAx>
      <c:valAx>
        <c:axId val="690007920"/>
        <c:scaling>
          <c:orientation val="maxMin"/>
          <c:max val="5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Forward</a:t>
                </a:r>
                <a:r>
                  <a:rPr lang="en-US" baseline="0"/>
                  <a:t> Trunk Flexion (deg)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crossAx val="69000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'Simple Sample'!$AD$2</c:f>
              <c:numCache>
                <c:formatCode>0.0%</c:formatCode>
                <c:ptCount val="1"/>
                <c:pt idx="0">
                  <c:v>-7.6166666666666674E-2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9-4D15-81B0-ABEFF21D5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683312"/>
        <c:axId val="1759682832"/>
      </c:barChart>
      <c:catAx>
        <c:axId val="175968331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solidFill>
            <a:schemeClr val="tx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2832"/>
        <c:crossesAt val="0"/>
        <c:auto val="1"/>
        <c:lblAlgn val="ctr"/>
        <c:lblOffset val="100"/>
        <c:noMultiLvlLbl val="0"/>
      </c:catAx>
      <c:valAx>
        <c:axId val="1759682832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331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Sample'!$R$4</c:f>
              <c:strCache>
                <c:ptCount val="1"/>
                <c:pt idx="0">
                  <c:v>Drop Jump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Sample'!$S$3:$V$3</c15:sqref>
                  </c15:fullRef>
                </c:ext>
              </c:extLst>
              <c:f>'Simple Sample'!$V$3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Sample'!$S$4:$V$4</c15:sqref>
                  </c15:fullRef>
                </c:ext>
              </c:extLst>
              <c:f>'Simple Sample'!$V$4</c:f>
              <c:numCache>
                <c:formatCode>0.00</c:formatCode>
                <c:ptCount val="1"/>
                <c:pt idx="0">
                  <c:v>44.776666666666664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6-41A7-A269-239B5B3A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960"/>
        <c:axId val="690007920"/>
      </c:barChart>
      <c:catAx>
        <c:axId val="69000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7920"/>
        <c:crosses val="autoZero"/>
        <c:auto val="1"/>
        <c:lblAlgn val="ctr"/>
        <c:lblOffset val="100"/>
        <c:noMultiLvlLbl val="0"/>
      </c:catAx>
      <c:valAx>
        <c:axId val="690007920"/>
        <c:scaling>
          <c:orientation val="minMax"/>
          <c:max val="50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Forward</a:t>
                </a:r>
                <a:r>
                  <a:rPr lang="en-US" baseline="0"/>
                  <a:t> Trunk Flexion (deg)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crossAx val="69000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Sample'!$X$4</c:f>
              <c:strCache>
                <c:ptCount val="1"/>
                <c:pt idx="0">
                  <c:v>Drop Jump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Sample'!$Y$3:$AB$3</c15:sqref>
                  </c15:fullRef>
                </c:ext>
              </c:extLst>
              <c:f>'Simple Sample'!$AB$3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Sample'!$Y$4:$AB$4</c15:sqref>
                  </c15:fullRef>
                </c:ext>
              </c:extLst>
              <c:f>'Simple Sample'!$AB$4</c:f>
              <c:numCache>
                <c:formatCode>0.00</c:formatCode>
                <c:ptCount val="1"/>
                <c:pt idx="0">
                  <c:v>44.793333333333329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D-408B-9F09-EE2436075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960"/>
        <c:axId val="690007920"/>
      </c:barChart>
      <c:catAx>
        <c:axId val="6900069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7920"/>
        <c:crosses val="autoZero"/>
        <c:auto val="1"/>
        <c:lblAlgn val="ctr"/>
        <c:lblOffset val="100"/>
        <c:noMultiLvlLbl val="0"/>
      </c:catAx>
      <c:valAx>
        <c:axId val="690007920"/>
        <c:scaling>
          <c:orientation val="maxMin"/>
          <c:max val="50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Forward</a:t>
                </a:r>
                <a:r>
                  <a:rPr lang="en-US" baseline="0"/>
                  <a:t> Trunk Flexion (deg)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crossAx val="69000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'Simple Sample'!$AD$4</c:f>
              <c:numCache>
                <c:formatCode>0.0%</c:formatCode>
                <c:ptCount val="1"/>
                <c:pt idx="0">
                  <c:v>-8.3333333333328601E-4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F-445B-B85E-42B736A35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683312"/>
        <c:axId val="1759682832"/>
      </c:barChart>
      <c:catAx>
        <c:axId val="175968331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solidFill>
            <a:schemeClr val="tx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2832"/>
        <c:crossesAt val="0"/>
        <c:auto val="1"/>
        <c:lblAlgn val="ctr"/>
        <c:lblOffset val="100"/>
        <c:noMultiLvlLbl val="0"/>
      </c:catAx>
      <c:valAx>
        <c:axId val="1759682832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331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Sample'!$R$7</c:f>
              <c:strCache>
                <c:ptCount val="1"/>
                <c:pt idx="0">
                  <c:v>Drop Jump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Sample'!$S$6:$V$6</c15:sqref>
                  </c15:fullRef>
                </c:ext>
              </c:extLst>
              <c:f>'Simple Sample'!$V$6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Sample'!$S$7:$V$7</c15:sqref>
                  </c15:fullRef>
                </c:ext>
              </c:extLst>
              <c:f>'Simple Sample'!$V$7</c:f>
              <c:numCache>
                <c:formatCode>0.00</c:formatCode>
                <c:ptCount val="1"/>
                <c:pt idx="0">
                  <c:v>94.563333333333333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D-4E4F-AD2C-E2F64B58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960"/>
        <c:axId val="690007920"/>
      </c:barChart>
      <c:catAx>
        <c:axId val="6900069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7920"/>
        <c:crosses val="autoZero"/>
        <c:auto val="1"/>
        <c:lblAlgn val="ctr"/>
        <c:lblOffset val="100"/>
        <c:noMultiLvlLbl val="0"/>
      </c:catAx>
      <c:valAx>
        <c:axId val="690007920"/>
        <c:scaling>
          <c:orientation val="maxMin"/>
          <c:max val="12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690006960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Sample'!$X$7</c:f>
              <c:strCache>
                <c:ptCount val="1"/>
                <c:pt idx="0">
                  <c:v>Drop Jump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Sample'!$Y$6:$AB$6</c15:sqref>
                  </c15:fullRef>
                </c:ext>
              </c:extLst>
              <c:f>'Simple Sample'!$AB$6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Sample'!$Y$7:$AB$7</c15:sqref>
                  </c15:fullRef>
                </c:ext>
              </c:extLst>
              <c:f>'Simple Sample'!$AB$7</c:f>
              <c:numCache>
                <c:formatCode>0.00</c:formatCode>
                <c:ptCount val="1"/>
                <c:pt idx="0">
                  <c:v>92.009999999999991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B-45C8-A6E8-A050BEC1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960"/>
        <c:axId val="690007920"/>
      </c:barChart>
      <c:catAx>
        <c:axId val="6900069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7920"/>
        <c:crosses val="autoZero"/>
        <c:auto val="1"/>
        <c:lblAlgn val="ctr"/>
        <c:lblOffset val="100"/>
        <c:noMultiLvlLbl val="0"/>
      </c:catAx>
      <c:valAx>
        <c:axId val="690007920"/>
        <c:scaling>
          <c:orientation val="maxMin"/>
          <c:max val="12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690006960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'Simple Sample'!$AD$7</c:f>
              <c:numCache>
                <c:formatCode>0.0%</c:formatCode>
                <c:ptCount val="1"/>
                <c:pt idx="0">
                  <c:v>0.17022222222222277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B-4395-8529-EFB48C990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683312"/>
        <c:axId val="1759682832"/>
      </c:barChart>
      <c:catAx>
        <c:axId val="175968331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solidFill>
            <a:schemeClr val="tx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2832"/>
        <c:crossesAt val="0"/>
        <c:auto val="1"/>
        <c:lblAlgn val="ctr"/>
        <c:lblOffset val="100"/>
        <c:noMultiLvlLbl val="0"/>
      </c:catAx>
      <c:valAx>
        <c:axId val="1759682832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331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Sample'!$R$10</c:f>
              <c:strCache>
                <c:ptCount val="1"/>
                <c:pt idx="0">
                  <c:v>Drop Jump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Sample'!$S$9:$V$9</c15:sqref>
                  </c15:fullRef>
                </c:ext>
              </c:extLst>
              <c:f>'Simple Sample'!$V$9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Sample'!$S$10:$V$10</c15:sqref>
                  </c15:fullRef>
                </c:ext>
              </c:extLst>
              <c:f>'Simple Sample'!$V$10</c:f>
              <c:numCache>
                <c:formatCode>0.00</c:formatCode>
                <c:ptCount val="1"/>
                <c:pt idx="0">
                  <c:v>98.353333333333339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4-4319-A3F6-A422C576A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960"/>
        <c:axId val="690007920"/>
      </c:barChart>
      <c:catAx>
        <c:axId val="6900069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7920"/>
        <c:crosses val="autoZero"/>
        <c:auto val="1"/>
        <c:lblAlgn val="ctr"/>
        <c:lblOffset val="100"/>
        <c:noMultiLvlLbl val="0"/>
      </c:catAx>
      <c:valAx>
        <c:axId val="690007920"/>
        <c:scaling>
          <c:orientation val="maxMin"/>
          <c:max val="12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690006960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Sample'!$X$10</c:f>
              <c:strCache>
                <c:ptCount val="1"/>
                <c:pt idx="0">
                  <c:v>Drop Jump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'Simple Sample'!$Y$9:$AB$9</c15:sqref>
                  </c15:fullRef>
                </c:ext>
              </c:extLst>
              <c:f>'Simple Sample'!$AB$9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'Simple Sample'!$Y$10:$AB$10</c15:sqref>
                  </c15:fullRef>
                </c:ext>
              </c:extLst>
              <c:f>'Simple Sample'!$AB$10</c:f>
              <c:numCache>
                <c:formatCode>0.00</c:formatCode>
                <c:ptCount val="1"/>
                <c:pt idx="0">
                  <c:v>96.603333333333339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A-46F8-A6A8-7834969D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960"/>
        <c:axId val="690007920"/>
      </c:barChart>
      <c:catAx>
        <c:axId val="6900069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7920"/>
        <c:crosses val="autoZero"/>
        <c:auto val="1"/>
        <c:lblAlgn val="ctr"/>
        <c:lblOffset val="100"/>
        <c:noMultiLvlLbl val="0"/>
      </c:catAx>
      <c:valAx>
        <c:axId val="690007920"/>
        <c:scaling>
          <c:orientation val="maxMin"/>
          <c:max val="12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690006960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'Simple Sample'!$AD$10</c:f>
              <c:numCache>
                <c:formatCode>0.0%</c:formatCode>
                <c:ptCount val="1"/>
                <c:pt idx="0">
                  <c:v>8.7499999999999994E-2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E-49E9-AC68-4F031EE4E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683312"/>
        <c:axId val="1759682832"/>
      </c:barChart>
      <c:catAx>
        <c:axId val="175968331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solidFill>
            <a:schemeClr val="tx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2832"/>
        <c:crossesAt val="0"/>
        <c:auto val="1"/>
        <c:lblAlgn val="ctr"/>
        <c:lblOffset val="100"/>
        <c:noMultiLvlLbl val="0"/>
      </c:catAx>
      <c:valAx>
        <c:axId val="1759682832"/>
        <c:scaling>
          <c:orientation val="minMax"/>
          <c:max val="0.75000000000000011"/>
          <c:min val="-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331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.png"/><Relationship Id="rId18" Type="http://schemas.openxmlformats.org/officeDocument/2006/relationships/image" Target="../media/image6.png"/><Relationship Id="rId26" Type="http://schemas.openxmlformats.org/officeDocument/2006/relationships/image" Target="../media/image14.png"/><Relationship Id="rId3" Type="http://schemas.openxmlformats.org/officeDocument/2006/relationships/chart" Target="../charts/chart3.xml"/><Relationship Id="rId21" Type="http://schemas.openxmlformats.org/officeDocument/2006/relationships/image" Target="../media/image9.png"/><Relationship Id="rId34" Type="http://schemas.openxmlformats.org/officeDocument/2006/relationships/chart" Target="../charts/chart17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image" Target="../media/image5.png"/><Relationship Id="rId25" Type="http://schemas.openxmlformats.org/officeDocument/2006/relationships/image" Target="../media/image13.png"/><Relationship Id="rId33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image" Target="../media/image4.png"/><Relationship Id="rId20" Type="http://schemas.openxmlformats.org/officeDocument/2006/relationships/image" Target="../media/image8.png"/><Relationship Id="rId29" Type="http://schemas.openxmlformats.org/officeDocument/2006/relationships/chart" Target="../charts/chart1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image" Target="../media/image12.png"/><Relationship Id="rId32" Type="http://schemas.openxmlformats.org/officeDocument/2006/relationships/image" Target="../media/image17.png"/><Relationship Id="rId5" Type="http://schemas.openxmlformats.org/officeDocument/2006/relationships/chart" Target="../charts/chart5.xml"/><Relationship Id="rId15" Type="http://schemas.openxmlformats.org/officeDocument/2006/relationships/image" Target="../media/image3.png"/><Relationship Id="rId23" Type="http://schemas.openxmlformats.org/officeDocument/2006/relationships/image" Target="../media/image11.png"/><Relationship Id="rId28" Type="http://schemas.openxmlformats.org/officeDocument/2006/relationships/image" Target="../media/image16.png"/><Relationship Id="rId10" Type="http://schemas.openxmlformats.org/officeDocument/2006/relationships/chart" Target="../charts/chart10.xml"/><Relationship Id="rId19" Type="http://schemas.openxmlformats.org/officeDocument/2006/relationships/image" Target="../media/image7.png"/><Relationship Id="rId31" Type="http://schemas.openxmlformats.org/officeDocument/2006/relationships/chart" Target="../charts/chart1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png"/><Relationship Id="rId22" Type="http://schemas.openxmlformats.org/officeDocument/2006/relationships/image" Target="../media/image10.png"/><Relationship Id="rId27" Type="http://schemas.openxmlformats.org/officeDocument/2006/relationships/image" Target="../media/image15.png"/><Relationship Id="rId30" Type="http://schemas.openxmlformats.org/officeDocument/2006/relationships/chart" Target="../charts/chart14.xml"/><Relationship Id="rId35" Type="http://schemas.openxmlformats.org/officeDocument/2006/relationships/image" Target="../media/image18.png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.png"/><Relationship Id="rId18" Type="http://schemas.openxmlformats.org/officeDocument/2006/relationships/chart" Target="../charts/chart29.xml"/><Relationship Id="rId26" Type="http://schemas.openxmlformats.org/officeDocument/2006/relationships/image" Target="../media/image10.png"/><Relationship Id="rId39" Type="http://schemas.openxmlformats.org/officeDocument/2006/relationships/chart" Target="../charts/chart40.xml"/><Relationship Id="rId21" Type="http://schemas.openxmlformats.org/officeDocument/2006/relationships/chart" Target="../charts/chart32.xml"/><Relationship Id="rId34" Type="http://schemas.openxmlformats.org/officeDocument/2006/relationships/chart" Target="../charts/chart37.xml"/><Relationship Id="rId42" Type="http://schemas.openxmlformats.org/officeDocument/2006/relationships/image" Target="../media/image24.png"/><Relationship Id="rId47" Type="http://schemas.openxmlformats.org/officeDocument/2006/relationships/image" Target="../media/image29.png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6" Type="http://schemas.openxmlformats.org/officeDocument/2006/relationships/chart" Target="../charts/chart28.xml"/><Relationship Id="rId29" Type="http://schemas.openxmlformats.org/officeDocument/2006/relationships/image" Target="../media/image20.png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image" Target="../media/image6.png"/><Relationship Id="rId24" Type="http://schemas.openxmlformats.org/officeDocument/2006/relationships/image" Target="../media/image1.png"/><Relationship Id="rId32" Type="http://schemas.openxmlformats.org/officeDocument/2006/relationships/chart" Target="../charts/chart35.xml"/><Relationship Id="rId37" Type="http://schemas.openxmlformats.org/officeDocument/2006/relationships/image" Target="../media/image22.png"/><Relationship Id="rId40" Type="http://schemas.openxmlformats.org/officeDocument/2006/relationships/chart" Target="../charts/chart41.xml"/><Relationship Id="rId45" Type="http://schemas.openxmlformats.org/officeDocument/2006/relationships/image" Target="../media/image27.png"/><Relationship Id="rId5" Type="http://schemas.openxmlformats.org/officeDocument/2006/relationships/chart" Target="../charts/chart22.xml"/><Relationship Id="rId15" Type="http://schemas.openxmlformats.org/officeDocument/2006/relationships/chart" Target="../charts/chart27.xml"/><Relationship Id="rId23" Type="http://schemas.openxmlformats.org/officeDocument/2006/relationships/image" Target="../media/image3.png"/><Relationship Id="rId28" Type="http://schemas.openxmlformats.org/officeDocument/2006/relationships/image" Target="../media/image19.png"/><Relationship Id="rId36" Type="http://schemas.openxmlformats.org/officeDocument/2006/relationships/image" Target="../media/image21.png"/><Relationship Id="rId10" Type="http://schemas.openxmlformats.org/officeDocument/2006/relationships/image" Target="../media/image5.png"/><Relationship Id="rId19" Type="http://schemas.openxmlformats.org/officeDocument/2006/relationships/chart" Target="../charts/chart30.xml"/><Relationship Id="rId31" Type="http://schemas.openxmlformats.org/officeDocument/2006/relationships/chart" Target="../charts/chart34.xml"/><Relationship Id="rId44" Type="http://schemas.openxmlformats.org/officeDocument/2006/relationships/image" Target="../media/image26.png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image" Target="../media/image11.png"/><Relationship Id="rId22" Type="http://schemas.openxmlformats.org/officeDocument/2006/relationships/image" Target="../media/image4.png"/><Relationship Id="rId27" Type="http://schemas.openxmlformats.org/officeDocument/2006/relationships/image" Target="../media/image12.png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43" Type="http://schemas.openxmlformats.org/officeDocument/2006/relationships/image" Target="../media/image25.png"/><Relationship Id="rId48" Type="http://schemas.openxmlformats.org/officeDocument/2006/relationships/image" Target="../media/image30.svg"/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12" Type="http://schemas.openxmlformats.org/officeDocument/2006/relationships/image" Target="../media/image7.png"/><Relationship Id="rId17" Type="http://schemas.openxmlformats.org/officeDocument/2006/relationships/image" Target="../media/image9.png"/><Relationship Id="rId25" Type="http://schemas.openxmlformats.org/officeDocument/2006/relationships/image" Target="../media/image2.png"/><Relationship Id="rId33" Type="http://schemas.openxmlformats.org/officeDocument/2006/relationships/chart" Target="../charts/chart36.xml"/><Relationship Id="rId38" Type="http://schemas.openxmlformats.org/officeDocument/2006/relationships/chart" Target="../charts/chart39.xml"/><Relationship Id="rId46" Type="http://schemas.openxmlformats.org/officeDocument/2006/relationships/image" Target="../media/image28.svg"/><Relationship Id="rId20" Type="http://schemas.openxmlformats.org/officeDocument/2006/relationships/chart" Target="../charts/chart31.xml"/><Relationship Id="rId4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33336</xdr:colOff>
      <xdr:row>23</xdr:row>
      <xdr:rowOff>9525</xdr:rowOff>
    </xdr:from>
    <xdr:to>
      <xdr:col>11</xdr:col>
      <xdr:colOff>238124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DC071-9A50-4099-B87B-960175559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180975</xdr:rowOff>
    </xdr:from>
    <xdr:to>
      <xdr:col>3</xdr:col>
      <xdr:colOff>9525</xdr:colOff>
      <xdr:row>32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9A8A0D-7FA0-4ECA-B774-3E8FB5918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80961</xdr:colOff>
      <xdr:row>23</xdr:row>
      <xdr:rowOff>4762</xdr:rowOff>
    </xdr:from>
    <xdr:to>
      <xdr:col>6</xdr:col>
      <xdr:colOff>523874</xdr:colOff>
      <xdr:row>32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316E8A-3664-4DA0-8354-F42AECDF5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32</xdr:row>
      <xdr:rowOff>109537</xdr:rowOff>
    </xdr:from>
    <xdr:to>
      <xdr:col>11</xdr:col>
      <xdr:colOff>266700</xdr:colOff>
      <xdr:row>41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AF4133-538B-491F-885B-E2CAFC11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32</xdr:row>
      <xdr:rowOff>90487</xdr:rowOff>
    </xdr:from>
    <xdr:to>
      <xdr:col>3</xdr:col>
      <xdr:colOff>9525</xdr:colOff>
      <xdr:row>41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70E8AF-D982-4D9F-A694-96D08453A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66675</xdr:colOff>
      <xdr:row>32</xdr:row>
      <xdr:rowOff>126206</xdr:rowOff>
    </xdr:from>
    <xdr:to>
      <xdr:col>6</xdr:col>
      <xdr:colOff>542925</xdr:colOff>
      <xdr:row>41</xdr:row>
      <xdr:rowOff>169069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43D145-DD10-4D07-BC4A-AFEDF9BA0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23812</xdr:colOff>
      <xdr:row>42</xdr:row>
      <xdr:rowOff>4762</xdr:rowOff>
    </xdr:from>
    <xdr:to>
      <xdr:col>11</xdr:col>
      <xdr:colOff>276225</xdr:colOff>
      <xdr:row>52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F3F0BC-733B-4EAA-ADAD-95A3DF30F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33337</xdr:colOff>
      <xdr:row>42</xdr:row>
      <xdr:rowOff>23812</xdr:rowOff>
    </xdr:from>
    <xdr:to>
      <xdr:col>3</xdr:col>
      <xdr:colOff>9525</xdr:colOff>
      <xdr:row>52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EEB245-4FC4-43E6-B011-D77E04B3D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90487</xdr:colOff>
      <xdr:row>42</xdr:row>
      <xdr:rowOff>14288</xdr:rowOff>
    </xdr:from>
    <xdr:to>
      <xdr:col>6</xdr:col>
      <xdr:colOff>581025</xdr:colOff>
      <xdr:row>52</xdr:row>
      <xdr:rowOff>66676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F8A85D-18FC-4B69-A995-191B10166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42861</xdr:colOff>
      <xdr:row>52</xdr:row>
      <xdr:rowOff>109537</xdr:rowOff>
    </xdr:from>
    <xdr:to>
      <xdr:col>11</xdr:col>
      <xdr:colOff>285749</xdr:colOff>
      <xdr:row>62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6F1F09-CA05-4614-9CBC-F63974E98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52</xdr:row>
      <xdr:rowOff>157162</xdr:rowOff>
    </xdr:from>
    <xdr:to>
      <xdr:col>3</xdr:col>
      <xdr:colOff>19050</xdr:colOff>
      <xdr:row>62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E08B3DB-B4FC-4792-8F2A-4FDEFE18B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90487</xdr:colOff>
      <xdr:row>52</xdr:row>
      <xdr:rowOff>147637</xdr:rowOff>
    </xdr:from>
    <xdr:to>
      <xdr:col>7</xdr:col>
      <xdr:colOff>9525</xdr:colOff>
      <xdr:row>62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1C7CE79-7668-49DD-893B-846BCDB56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404812</xdr:colOff>
      <xdr:row>25</xdr:row>
      <xdr:rowOff>83344</xdr:rowOff>
    </xdr:from>
    <xdr:to>
      <xdr:col>7</xdr:col>
      <xdr:colOff>404812</xdr:colOff>
      <xdr:row>31</xdr:row>
      <xdr:rowOff>35719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8AA19D1-B8DA-4961-B62D-7C8AF210AC1E}"/>
            </a:ext>
          </a:extLst>
        </xdr:cNvPr>
        <xdr:cNvCxnSpPr/>
      </xdr:nvCxnSpPr>
      <xdr:spPr>
        <a:xfrm flipV="1">
          <a:off x="6024562" y="4845844"/>
          <a:ext cx="0" cy="1095375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450055</xdr:colOff>
      <xdr:row>25</xdr:row>
      <xdr:rowOff>80963</xdr:rowOff>
    </xdr:from>
    <xdr:to>
      <xdr:col>10</xdr:col>
      <xdr:colOff>450055</xdr:colOff>
      <xdr:row>31</xdr:row>
      <xdr:rowOff>33338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30F6B52-8916-47B7-981D-BAB926219F95}"/>
            </a:ext>
          </a:extLst>
        </xdr:cNvPr>
        <xdr:cNvCxnSpPr/>
      </xdr:nvCxnSpPr>
      <xdr:spPr>
        <a:xfrm flipV="1">
          <a:off x="8441530" y="4843463"/>
          <a:ext cx="0" cy="1095375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390524</xdr:colOff>
      <xdr:row>25</xdr:row>
      <xdr:rowOff>92869</xdr:rowOff>
    </xdr:from>
    <xdr:to>
      <xdr:col>0</xdr:col>
      <xdr:colOff>390524</xdr:colOff>
      <xdr:row>31</xdr:row>
      <xdr:rowOff>45244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2DFE8FB-4A7F-4C92-84E3-0BF35641B3B2}"/>
            </a:ext>
          </a:extLst>
        </xdr:cNvPr>
        <xdr:cNvCxnSpPr/>
      </xdr:nvCxnSpPr>
      <xdr:spPr>
        <a:xfrm flipV="1">
          <a:off x="390524" y="4855369"/>
          <a:ext cx="0" cy="1095375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935830</xdr:colOff>
      <xdr:row>25</xdr:row>
      <xdr:rowOff>90488</xdr:rowOff>
    </xdr:from>
    <xdr:to>
      <xdr:col>2</xdr:col>
      <xdr:colOff>935830</xdr:colOff>
      <xdr:row>31</xdr:row>
      <xdr:rowOff>42863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21143FD-8057-4F52-A344-6D6899EC2ECE}"/>
            </a:ext>
          </a:extLst>
        </xdr:cNvPr>
        <xdr:cNvCxnSpPr/>
      </xdr:nvCxnSpPr>
      <xdr:spPr>
        <a:xfrm flipV="1">
          <a:off x="2802730" y="4852988"/>
          <a:ext cx="0" cy="1095375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154782</xdr:colOff>
      <xdr:row>35</xdr:row>
      <xdr:rowOff>2382</xdr:rowOff>
    </xdr:from>
    <xdr:to>
      <xdr:col>11</xdr:col>
      <xdr:colOff>154784</xdr:colOff>
      <xdr:row>35</xdr:row>
      <xdr:rowOff>11909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0BB136C-5CCE-466C-86D1-673E9D016F94}"/>
            </a:ext>
          </a:extLst>
        </xdr:cNvPr>
        <xdr:cNvCxnSpPr/>
      </xdr:nvCxnSpPr>
      <xdr:spPr>
        <a:xfrm>
          <a:off x="5774532" y="6669882"/>
          <a:ext cx="2981327" cy="9527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152398</xdr:colOff>
      <xdr:row>40</xdr:row>
      <xdr:rowOff>154782</xdr:rowOff>
    </xdr:from>
    <xdr:to>
      <xdr:col>11</xdr:col>
      <xdr:colOff>142878</xdr:colOff>
      <xdr:row>40</xdr:row>
      <xdr:rowOff>166690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54A5DD2-03D7-41BA-BABB-D05E1BEF5337}"/>
            </a:ext>
          </a:extLst>
        </xdr:cNvPr>
        <xdr:cNvCxnSpPr/>
      </xdr:nvCxnSpPr>
      <xdr:spPr>
        <a:xfrm>
          <a:off x="5772148" y="7774782"/>
          <a:ext cx="2971805" cy="11908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128589</xdr:colOff>
      <xdr:row>34</xdr:row>
      <xdr:rowOff>166688</xdr:rowOff>
    </xdr:from>
    <xdr:to>
      <xdr:col>2</xdr:col>
      <xdr:colOff>1235872</xdr:colOff>
      <xdr:row>34</xdr:row>
      <xdr:rowOff>176215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0D095DD-47B2-4BDF-BE87-B0553EF5D9DE}"/>
            </a:ext>
          </a:extLst>
        </xdr:cNvPr>
        <xdr:cNvCxnSpPr/>
      </xdr:nvCxnSpPr>
      <xdr:spPr>
        <a:xfrm>
          <a:off x="128589" y="6643688"/>
          <a:ext cx="2974183" cy="9527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138111</xdr:colOff>
      <xdr:row>41</xdr:row>
      <xdr:rowOff>9525</xdr:rowOff>
    </xdr:from>
    <xdr:to>
      <xdr:col>2</xdr:col>
      <xdr:colOff>1235872</xdr:colOff>
      <xdr:row>41</xdr:row>
      <xdr:rowOff>21433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E71C137-F883-4773-989C-9570CB3B9FD1}"/>
            </a:ext>
          </a:extLst>
        </xdr:cNvPr>
        <xdr:cNvCxnSpPr/>
      </xdr:nvCxnSpPr>
      <xdr:spPr>
        <a:xfrm>
          <a:off x="138111" y="7820025"/>
          <a:ext cx="2964661" cy="11908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1037167</xdr:colOff>
      <xdr:row>23</xdr:row>
      <xdr:rowOff>42334</xdr:rowOff>
    </xdr:from>
    <xdr:to>
      <xdr:col>2</xdr:col>
      <xdr:colOff>1243911</xdr:colOff>
      <xdr:row>26</xdr:row>
      <xdr:rowOff>156634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782D657-9D13-F931-465C-D422C58BB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0417" y="4423834"/>
          <a:ext cx="206744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54751</xdr:colOff>
      <xdr:row>23</xdr:row>
      <xdr:rowOff>33584</xdr:rowOff>
    </xdr:from>
    <xdr:to>
      <xdr:col>0</xdr:col>
      <xdr:colOff>261852</xdr:colOff>
      <xdr:row>26</xdr:row>
      <xdr:rowOff>147884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EDD2E0F-A28D-9501-3655-B45A7D9EA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1" y="4415084"/>
          <a:ext cx="207101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151832</xdr:colOff>
      <xdr:row>23</xdr:row>
      <xdr:rowOff>56584</xdr:rowOff>
    </xdr:from>
    <xdr:to>
      <xdr:col>7</xdr:col>
      <xdr:colOff>358576</xdr:colOff>
      <xdr:row>26</xdr:row>
      <xdr:rowOff>170884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ABD2BA6-EEEC-1742-6E2E-C781B735E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792749" y="4438084"/>
          <a:ext cx="206744" cy="68580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598166</xdr:colOff>
      <xdr:row>23</xdr:row>
      <xdr:rowOff>58418</xdr:rowOff>
    </xdr:from>
    <xdr:to>
      <xdr:col>11</xdr:col>
      <xdr:colOff>191076</xdr:colOff>
      <xdr:row>26</xdr:row>
      <xdr:rowOff>172718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2B87C50-6803-9326-F6A8-710C9901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20333" y="4439918"/>
          <a:ext cx="206743" cy="6858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37</xdr:row>
      <xdr:rowOff>74083</xdr:rowOff>
    </xdr:from>
    <xdr:to>
      <xdr:col>11</xdr:col>
      <xdr:colOff>266408</xdr:colOff>
      <xdr:row>40</xdr:row>
      <xdr:rowOff>188383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9CDB34C-CF67-3138-5CF3-B56BC366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99500" y="7122583"/>
          <a:ext cx="202908" cy="685800"/>
        </a:xfrm>
        <a:prstGeom prst="rect">
          <a:avLst/>
        </a:prstGeom>
      </xdr:spPr>
    </xdr:pic>
    <xdr:clientData/>
  </xdr:twoCellAnchor>
  <xdr:twoCellAnchor editAs="oneCell">
    <xdr:from>
      <xdr:col>11</xdr:col>
      <xdr:colOff>65333</xdr:colOff>
      <xdr:row>32</xdr:row>
      <xdr:rowOff>160583</xdr:rowOff>
    </xdr:from>
    <xdr:to>
      <xdr:col>11</xdr:col>
      <xdr:colOff>273977</xdr:colOff>
      <xdr:row>36</xdr:row>
      <xdr:rowOff>84383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C361987-BF1B-3E80-D303-2F9D76283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01333" y="6256583"/>
          <a:ext cx="208644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23509</xdr:colOff>
      <xdr:row>37</xdr:row>
      <xdr:rowOff>175646</xdr:rowOff>
    </xdr:from>
    <xdr:to>
      <xdr:col>0</xdr:col>
      <xdr:colOff>226523</xdr:colOff>
      <xdr:row>41</xdr:row>
      <xdr:rowOff>99446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0E862B3-6318-A7E0-4D2B-54D9E7AD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09" y="7224146"/>
          <a:ext cx="203014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57092</xdr:colOff>
      <xdr:row>32</xdr:row>
      <xdr:rowOff>128531</xdr:rowOff>
    </xdr:from>
    <xdr:to>
      <xdr:col>0</xdr:col>
      <xdr:colOff>262841</xdr:colOff>
      <xdr:row>36</xdr:row>
      <xdr:rowOff>52331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A506DF-E69B-318C-B20C-4A819E2E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92" y="6224531"/>
          <a:ext cx="205749" cy="685800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74083</xdr:colOff>
      <xdr:row>48</xdr:row>
      <xdr:rowOff>74084</xdr:rowOff>
    </xdr:from>
    <xdr:to>
      <xdr:col>11</xdr:col>
      <xdr:colOff>306018</xdr:colOff>
      <xdr:row>51</xdr:row>
      <xdr:rowOff>188384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B155214-5F7E-8206-9B2C-BE5B7E654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58489" y="9218084"/>
          <a:ext cx="231935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12416</xdr:colOff>
      <xdr:row>48</xdr:row>
      <xdr:rowOff>86500</xdr:rowOff>
    </xdr:from>
    <xdr:to>
      <xdr:col>7</xdr:col>
      <xdr:colOff>244351</xdr:colOff>
      <xdr:row>52</xdr:row>
      <xdr:rowOff>10300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EA2BE93-D06D-F8E2-6C29-145AABD72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620260" y="9230500"/>
          <a:ext cx="231935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130667</xdr:colOff>
      <xdr:row>48</xdr:row>
      <xdr:rowOff>98917</xdr:rowOff>
    </xdr:from>
    <xdr:to>
      <xdr:col>0</xdr:col>
      <xdr:colOff>362602</xdr:colOff>
      <xdr:row>52</xdr:row>
      <xdr:rowOff>22717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93F6F50-2E6A-958E-B81C-A8121574B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67" y="9242917"/>
          <a:ext cx="231935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1085000</xdr:colOff>
      <xdr:row>48</xdr:row>
      <xdr:rowOff>111333</xdr:rowOff>
    </xdr:from>
    <xdr:to>
      <xdr:col>3</xdr:col>
      <xdr:colOff>4960</xdr:colOff>
      <xdr:row>52</xdr:row>
      <xdr:rowOff>35133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8F1946E-D03B-65BB-369D-75420A48B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250" y="9255333"/>
          <a:ext cx="232293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105832</xdr:colOff>
      <xdr:row>58</xdr:row>
      <xdr:rowOff>95250</xdr:rowOff>
    </xdr:from>
    <xdr:to>
      <xdr:col>7</xdr:col>
      <xdr:colOff>312252</xdr:colOff>
      <xdr:row>62</xdr:row>
      <xdr:rowOff>19050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6B4B93E-9085-E298-BA89-C5619513B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713676" y="11144250"/>
          <a:ext cx="206420" cy="685800"/>
        </a:xfrm>
        <a:prstGeom prst="rect">
          <a:avLst/>
        </a:prstGeom>
      </xdr:spPr>
    </xdr:pic>
    <xdr:clientData/>
  </xdr:twoCellAnchor>
  <xdr:twoCellAnchor editAs="oneCell">
    <xdr:from>
      <xdr:col>11</xdr:col>
      <xdr:colOff>75917</xdr:colOff>
      <xdr:row>58</xdr:row>
      <xdr:rowOff>33583</xdr:rowOff>
    </xdr:from>
    <xdr:to>
      <xdr:col>11</xdr:col>
      <xdr:colOff>282444</xdr:colOff>
      <xdr:row>61</xdr:row>
      <xdr:rowOff>147883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209274B-A96E-4268-9DB6-A82995920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60323" y="11082583"/>
          <a:ext cx="206527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1093749</xdr:colOff>
      <xdr:row>58</xdr:row>
      <xdr:rowOff>98917</xdr:rowOff>
    </xdr:from>
    <xdr:to>
      <xdr:col>2</xdr:col>
      <xdr:colOff>1300526</xdr:colOff>
      <xdr:row>62</xdr:row>
      <xdr:rowOff>22717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63AB3ED-9392-9581-E782-1384B377E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6999" y="11147917"/>
          <a:ext cx="206777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100750</xdr:colOff>
      <xdr:row>58</xdr:row>
      <xdr:rowOff>58417</xdr:rowOff>
    </xdr:from>
    <xdr:to>
      <xdr:col>0</xdr:col>
      <xdr:colOff>307493</xdr:colOff>
      <xdr:row>61</xdr:row>
      <xdr:rowOff>172717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6874A01-91AF-DC96-515E-B752C84E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50" y="11107417"/>
          <a:ext cx="206743" cy="685800"/>
        </a:xfrm>
        <a:prstGeom prst="rect">
          <a:avLst/>
        </a:prstGeom>
      </xdr:spPr>
    </xdr:pic>
    <xdr:clientData/>
  </xdr:twoCellAnchor>
  <xdr:twoCellAnchor>
    <xdr:from>
      <xdr:col>25</xdr:col>
      <xdr:colOff>190500</xdr:colOff>
      <xdr:row>10</xdr:row>
      <xdr:rowOff>63101</xdr:rowOff>
    </xdr:from>
    <xdr:to>
      <xdr:col>33</xdr:col>
      <xdr:colOff>416717</xdr:colOff>
      <xdr:row>32</xdr:row>
      <xdr:rowOff>178592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7D5CC86F-4F38-9A57-2E56-AE3FB698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14</xdr:col>
      <xdr:colOff>369093</xdr:colOff>
      <xdr:row>10</xdr:row>
      <xdr:rowOff>27383</xdr:rowOff>
    </xdr:from>
    <xdr:to>
      <xdr:col>23</xdr:col>
      <xdr:colOff>511969</xdr:colOff>
      <xdr:row>32</xdr:row>
      <xdr:rowOff>154780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B5415F65-48D1-1877-9522-BDF3CF0A1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14</xdr:col>
      <xdr:colOff>494109</xdr:colOff>
      <xdr:row>43</xdr:row>
      <xdr:rowOff>170258</xdr:rowOff>
    </xdr:from>
    <xdr:to>
      <xdr:col>23</xdr:col>
      <xdr:colOff>535781</xdr:colOff>
      <xdr:row>63</xdr:row>
      <xdr:rowOff>95249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5FBD35E-0F87-C514-7ED6-7F76C9108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11</xdr:col>
      <xdr:colOff>500063</xdr:colOff>
      <xdr:row>26</xdr:row>
      <xdr:rowOff>130969</xdr:rowOff>
    </xdr:from>
    <xdr:to>
      <xdr:col>14</xdr:col>
      <xdr:colOff>280007</xdr:colOff>
      <xdr:row>54</xdr:row>
      <xdr:rowOff>72831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128C9CE-23EF-D3D4-B91D-DECDF8409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4469" y="5083969"/>
          <a:ext cx="1601601" cy="5275862"/>
        </a:xfrm>
        <a:prstGeom prst="rect">
          <a:avLst/>
        </a:prstGeom>
      </xdr:spPr>
    </xdr:pic>
    <xdr:clientData/>
  </xdr:twoCellAnchor>
  <xdr:twoCellAnchor>
    <xdr:from>
      <xdr:col>25</xdr:col>
      <xdr:colOff>398858</xdr:colOff>
      <xdr:row>43</xdr:row>
      <xdr:rowOff>51197</xdr:rowOff>
    </xdr:from>
    <xdr:to>
      <xdr:col>33</xdr:col>
      <xdr:colOff>113108</xdr:colOff>
      <xdr:row>57</xdr:row>
      <xdr:rowOff>127397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CF21483-E932-848A-003F-0C7764C4A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26</xdr:col>
      <xdr:colOff>47624</xdr:colOff>
      <xdr:row>68</xdr:row>
      <xdr:rowOff>3571</xdr:rowOff>
    </xdr:from>
    <xdr:to>
      <xdr:col>33</xdr:col>
      <xdr:colOff>369093</xdr:colOff>
      <xdr:row>82</xdr:row>
      <xdr:rowOff>79771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B85CC7F-7E00-7187-BA6E-D5DD1EC2F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14</xdr:col>
      <xdr:colOff>476250</xdr:colOff>
      <xdr:row>64</xdr:row>
      <xdr:rowOff>107157</xdr:rowOff>
    </xdr:from>
    <xdr:to>
      <xdr:col>24</xdr:col>
      <xdr:colOff>596177</xdr:colOff>
      <xdr:row>91</xdr:row>
      <xdr:rowOff>107875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E440B1B-361E-0D55-40AB-31E0CAE15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82313" y="12299157"/>
          <a:ext cx="6192114" cy="5144218"/>
        </a:xfrm>
        <a:prstGeom prst="rect">
          <a:avLst/>
        </a:prstGeom>
      </xdr:spPr>
    </xdr:pic>
    <xdr:clientData/>
  </xdr:twoCellAnchor>
  <xdr:twoCellAnchor>
    <xdr:from>
      <xdr:col>26</xdr:col>
      <xdr:colOff>95251</xdr:colOff>
      <xdr:row>70</xdr:row>
      <xdr:rowOff>35717</xdr:rowOff>
    </xdr:from>
    <xdr:to>
      <xdr:col>26</xdr:col>
      <xdr:colOff>464345</xdr:colOff>
      <xdr:row>79</xdr:row>
      <xdr:rowOff>154780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0D48751-46CD-06AB-280E-955FE7044B1E}"/>
            </a:ext>
          </a:extLst>
        </xdr:cNvPr>
        <xdr:cNvSpPr txBox="1"/>
      </xdr:nvSpPr>
      <xdr:spPr>
        <a:xfrm>
          <a:off x="17787939" y="13370717"/>
          <a:ext cx="369094" cy="1833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/>
            <a:t>15</a:t>
          </a:r>
        </a:p>
        <a:p>
          <a:pPr algn="r"/>
          <a:endParaRPr lang="en-US" sz="1000"/>
        </a:p>
        <a:p>
          <a:pPr algn="r"/>
          <a:r>
            <a:rPr lang="en-US" sz="1000"/>
            <a:t>10</a:t>
          </a:r>
        </a:p>
        <a:p>
          <a:pPr algn="r"/>
          <a:endParaRPr lang="en-US" sz="1000"/>
        </a:p>
        <a:p>
          <a:pPr algn="r"/>
          <a:r>
            <a:rPr lang="en-US" sz="1000"/>
            <a:t>5</a:t>
          </a:r>
        </a:p>
        <a:p>
          <a:pPr algn="r"/>
          <a:endParaRPr lang="en-US" sz="1000"/>
        </a:p>
        <a:p>
          <a:pPr algn="r"/>
          <a:r>
            <a:rPr lang="en-US" sz="1000"/>
            <a:t>0</a:t>
          </a:r>
        </a:p>
        <a:p>
          <a:pPr algn="r"/>
          <a:endParaRPr lang="en-US" sz="1000"/>
        </a:p>
        <a:p>
          <a:pPr algn="r"/>
          <a:r>
            <a:rPr lang="en-US" sz="1000"/>
            <a:t>-5</a:t>
          </a:r>
        </a:p>
        <a:p>
          <a:pPr algn="r"/>
          <a:endParaRPr lang="en-US" sz="1000"/>
        </a:p>
        <a:p>
          <a:pPr algn="r"/>
          <a:r>
            <a:rPr lang="en-US" sz="1000"/>
            <a:t>-10</a:t>
          </a:r>
        </a:p>
      </xdr:txBody>
    </xdr:sp>
    <xdr:clientData/>
  </xdr:twoCellAnchor>
  <xdr:twoCellAnchor>
    <xdr:from>
      <xdr:col>27</xdr:col>
      <xdr:colOff>128589</xdr:colOff>
      <xdr:row>70</xdr:row>
      <xdr:rowOff>33336</xdr:rowOff>
    </xdr:from>
    <xdr:to>
      <xdr:col>27</xdr:col>
      <xdr:colOff>497683</xdr:colOff>
      <xdr:row>79</xdr:row>
      <xdr:rowOff>152399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E9DA05A-BE97-45D4-B41F-11291CCF8106}"/>
            </a:ext>
          </a:extLst>
        </xdr:cNvPr>
        <xdr:cNvSpPr txBox="1"/>
      </xdr:nvSpPr>
      <xdr:spPr>
        <a:xfrm>
          <a:off x="18428495" y="13368336"/>
          <a:ext cx="369094" cy="1833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/>
            <a:t>10</a:t>
          </a:r>
        </a:p>
        <a:p>
          <a:pPr algn="r"/>
          <a:endParaRPr lang="en-US" sz="1000"/>
        </a:p>
        <a:p>
          <a:pPr algn="r"/>
          <a:r>
            <a:rPr lang="en-US" sz="1000"/>
            <a:t>5</a:t>
          </a:r>
        </a:p>
        <a:p>
          <a:pPr algn="r"/>
          <a:endParaRPr lang="en-US" sz="1000"/>
        </a:p>
        <a:p>
          <a:pPr algn="r"/>
          <a:r>
            <a:rPr lang="en-US" sz="1000"/>
            <a:t>0</a:t>
          </a:r>
        </a:p>
        <a:p>
          <a:pPr algn="r"/>
          <a:endParaRPr lang="en-US" sz="1000"/>
        </a:p>
        <a:p>
          <a:pPr algn="r"/>
          <a:r>
            <a:rPr lang="en-US" sz="1000"/>
            <a:t>-5</a:t>
          </a:r>
        </a:p>
        <a:p>
          <a:pPr algn="r"/>
          <a:endParaRPr lang="en-US" sz="1000"/>
        </a:p>
        <a:p>
          <a:pPr algn="r"/>
          <a:r>
            <a:rPr lang="en-US" sz="1000"/>
            <a:t>-10</a:t>
          </a:r>
        </a:p>
        <a:p>
          <a:pPr algn="r"/>
          <a:endParaRPr lang="en-US" sz="1000"/>
        </a:p>
        <a:p>
          <a:pPr algn="r"/>
          <a:r>
            <a:rPr lang="en-US" sz="1000"/>
            <a:t>-15</a:t>
          </a:r>
        </a:p>
      </xdr:txBody>
    </xdr:sp>
    <xdr:clientData/>
  </xdr:twoCellAnchor>
  <xdr:twoCellAnchor>
    <xdr:from>
      <xdr:col>28</xdr:col>
      <xdr:colOff>173833</xdr:colOff>
      <xdr:row>70</xdr:row>
      <xdr:rowOff>42861</xdr:rowOff>
    </xdr:from>
    <xdr:to>
      <xdr:col>28</xdr:col>
      <xdr:colOff>542927</xdr:colOff>
      <xdr:row>79</xdr:row>
      <xdr:rowOff>161924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5CC4592-BA3C-48C1-B7A4-267DAB3B9A74}"/>
            </a:ext>
          </a:extLst>
        </xdr:cNvPr>
        <xdr:cNvSpPr txBox="1"/>
      </xdr:nvSpPr>
      <xdr:spPr>
        <a:xfrm>
          <a:off x="19080958" y="13377861"/>
          <a:ext cx="369094" cy="1833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/>
            <a:t>20</a:t>
          </a:r>
        </a:p>
        <a:p>
          <a:pPr algn="r"/>
          <a:endParaRPr lang="en-US" sz="1000"/>
        </a:p>
        <a:p>
          <a:pPr algn="r"/>
          <a:r>
            <a:rPr lang="en-US" sz="1000"/>
            <a:t>15</a:t>
          </a:r>
        </a:p>
        <a:p>
          <a:pPr algn="r"/>
          <a:endParaRPr lang="en-US" sz="1000"/>
        </a:p>
        <a:p>
          <a:pPr algn="r"/>
          <a:r>
            <a:rPr lang="en-US" sz="1000"/>
            <a:t>10</a:t>
          </a:r>
        </a:p>
        <a:p>
          <a:pPr algn="r"/>
          <a:endParaRPr lang="en-US" sz="1000"/>
        </a:p>
        <a:p>
          <a:pPr algn="r"/>
          <a:r>
            <a:rPr lang="en-US" sz="1000"/>
            <a:t>5</a:t>
          </a:r>
        </a:p>
        <a:p>
          <a:pPr algn="r"/>
          <a:endParaRPr lang="en-US" sz="1000"/>
        </a:p>
        <a:p>
          <a:pPr algn="r"/>
          <a:r>
            <a:rPr lang="en-US" sz="1000"/>
            <a:t>0</a:t>
          </a:r>
        </a:p>
        <a:p>
          <a:pPr algn="r"/>
          <a:endParaRPr lang="en-US" sz="1000"/>
        </a:p>
        <a:p>
          <a:pPr algn="r"/>
          <a:r>
            <a:rPr lang="en-US" sz="1000"/>
            <a:t>-5</a:t>
          </a:r>
        </a:p>
      </xdr:txBody>
    </xdr:sp>
    <xdr:clientData/>
  </xdr:twoCellAnchor>
  <xdr:twoCellAnchor>
    <xdr:from>
      <xdr:col>29</xdr:col>
      <xdr:colOff>130968</xdr:colOff>
      <xdr:row>69</xdr:row>
      <xdr:rowOff>166689</xdr:rowOff>
    </xdr:from>
    <xdr:to>
      <xdr:col>29</xdr:col>
      <xdr:colOff>559594</xdr:colOff>
      <xdr:row>80</xdr:row>
      <xdr:rowOff>23813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EA9BC89-75D9-43A7-8321-3C1CAF8F35EF}"/>
            </a:ext>
          </a:extLst>
        </xdr:cNvPr>
        <xdr:cNvSpPr txBox="1"/>
      </xdr:nvSpPr>
      <xdr:spPr>
        <a:xfrm>
          <a:off x="19645312" y="13311189"/>
          <a:ext cx="428626" cy="1952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00"/>
            <a:t>2</a:t>
          </a:r>
        </a:p>
        <a:p>
          <a:pPr algn="r"/>
          <a:endParaRPr lang="en-US" sz="800"/>
        </a:p>
        <a:p>
          <a:pPr algn="r"/>
          <a:r>
            <a:rPr lang="en-US" sz="800"/>
            <a:t>0</a:t>
          </a:r>
        </a:p>
        <a:p>
          <a:pPr algn="r"/>
          <a:endParaRPr lang="en-US" sz="800"/>
        </a:p>
        <a:p>
          <a:pPr algn="r"/>
          <a:r>
            <a:rPr lang="en-US" sz="800"/>
            <a:t>-2</a:t>
          </a:r>
        </a:p>
        <a:p>
          <a:pPr algn="r"/>
          <a:endParaRPr lang="en-US" sz="800"/>
        </a:p>
        <a:p>
          <a:pPr algn="r"/>
          <a:r>
            <a:rPr lang="en-US" sz="800"/>
            <a:t>-4</a:t>
          </a:r>
        </a:p>
        <a:p>
          <a:pPr algn="r"/>
          <a:endParaRPr lang="en-US" sz="800"/>
        </a:p>
        <a:p>
          <a:pPr algn="r"/>
          <a:r>
            <a:rPr lang="en-US" sz="800"/>
            <a:t>-6</a:t>
          </a:r>
        </a:p>
        <a:p>
          <a:pPr algn="r"/>
          <a:endParaRPr lang="en-US" sz="800"/>
        </a:p>
        <a:p>
          <a:pPr algn="r"/>
          <a:r>
            <a:rPr lang="en-US" sz="800"/>
            <a:t>-8</a:t>
          </a:r>
        </a:p>
        <a:p>
          <a:pPr algn="r"/>
          <a:endParaRPr lang="en-US" sz="800"/>
        </a:p>
        <a:p>
          <a:pPr algn="r"/>
          <a:r>
            <a:rPr lang="en-US" sz="800"/>
            <a:t>-10</a:t>
          </a:r>
        </a:p>
        <a:p>
          <a:pPr algn="r"/>
          <a:endParaRPr lang="en-US" sz="800"/>
        </a:p>
        <a:p>
          <a:pPr algn="r"/>
          <a:r>
            <a:rPr lang="en-US" sz="800"/>
            <a:t>-12</a:t>
          </a:r>
        </a:p>
      </xdr:txBody>
    </xdr:sp>
    <xdr:clientData/>
  </xdr:twoCellAnchor>
  <xdr:twoCellAnchor>
    <xdr:from>
      <xdr:col>30</xdr:col>
      <xdr:colOff>261937</xdr:colOff>
      <xdr:row>69</xdr:row>
      <xdr:rowOff>178595</xdr:rowOff>
    </xdr:from>
    <xdr:to>
      <xdr:col>31</xdr:col>
      <xdr:colOff>23813</xdr:colOff>
      <xdr:row>79</xdr:row>
      <xdr:rowOff>107158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CE4E145-4BE4-487F-89B5-6610A5319E90}"/>
            </a:ext>
          </a:extLst>
        </xdr:cNvPr>
        <xdr:cNvSpPr txBox="1"/>
      </xdr:nvSpPr>
      <xdr:spPr>
        <a:xfrm>
          <a:off x="20383500" y="13323095"/>
          <a:ext cx="369094" cy="1833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/>
            <a:t>4</a:t>
          </a:r>
        </a:p>
        <a:p>
          <a:pPr algn="r"/>
          <a:endParaRPr lang="en-US" sz="1000"/>
        </a:p>
        <a:p>
          <a:pPr algn="r"/>
          <a:r>
            <a:rPr lang="en-US" sz="1000"/>
            <a:t>2</a:t>
          </a:r>
        </a:p>
        <a:p>
          <a:pPr algn="r"/>
          <a:endParaRPr lang="en-US" sz="1000"/>
        </a:p>
        <a:p>
          <a:pPr algn="r"/>
          <a:r>
            <a:rPr lang="en-US" sz="1000"/>
            <a:t>0</a:t>
          </a:r>
        </a:p>
        <a:p>
          <a:pPr algn="r"/>
          <a:endParaRPr lang="en-US" sz="1000"/>
        </a:p>
        <a:p>
          <a:pPr algn="r"/>
          <a:r>
            <a:rPr lang="en-US" sz="1000"/>
            <a:t>-2</a:t>
          </a:r>
        </a:p>
        <a:p>
          <a:pPr algn="r"/>
          <a:endParaRPr lang="en-US" sz="1000"/>
        </a:p>
        <a:p>
          <a:pPr algn="r"/>
          <a:r>
            <a:rPr lang="en-US" sz="1000"/>
            <a:t>-4</a:t>
          </a:r>
        </a:p>
        <a:p>
          <a:pPr algn="r"/>
          <a:endParaRPr lang="en-US" sz="1000"/>
        </a:p>
        <a:p>
          <a:pPr algn="r"/>
          <a:r>
            <a:rPr lang="en-US" sz="1000"/>
            <a:t>-6</a:t>
          </a:r>
        </a:p>
      </xdr:txBody>
    </xdr:sp>
    <xdr:clientData/>
  </xdr:twoCellAnchor>
  <xdr:twoCellAnchor>
    <xdr:from>
      <xdr:col>31</xdr:col>
      <xdr:colOff>259556</xdr:colOff>
      <xdr:row>70</xdr:row>
      <xdr:rowOff>138911</xdr:rowOff>
    </xdr:from>
    <xdr:to>
      <xdr:col>32</xdr:col>
      <xdr:colOff>21431</xdr:colOff>
      <xdr:row>80</xdr:row>
      <xdr:rowOff>39691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2C89578-46B6-4A4A-8F1B-BAFB97CE820A}"/>
            </a:ext>
          </a:extLst>
        </xdr:cNvPr>
        <xdr:cNvSpPr txBox="1"/>
      </xdr:nvSpPr>
      <xdr:spPr>
        <a:xfrm>
          <a:off x="21095494" y="13473911"/>
          <a:ext cx="373062" cy="1805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/>
            <a:t>4</a:t>
          </a:r>
        </a:p>
        <a:p>
          <a:pPr algn="r"/>
          <a:endParaRPr lang="en-US" sz="1000"/>
        </a:p>
        <a:p>
          <a:pPr algn="r"/>
          <a:r>
            <a:rPr lang="en-US" sz="1000"/>
            <a:t>2</a:t>
          </a:r>
        </a:p>
        <a:p>
          <a:pPr algn="r"/>
          <a:endParaRPr lang="en-US" sz="1000"/>
        </a:p>
        <a:p>
          <a:pPr algn="r"/>
          <a:r>
            <a:rPr lang="en-US" sz="1000"/>
            <a:t>0</a:t>
          </a:r>
        </a:p>
        <a:p>
          <a:pPr algn="r"/>
          <a:endParaRPr lang="en-US" sz="1000"/>
        </a:p>
        <a:p>
          <a:pPr algn="r"/>
          <a:r>
            <a:rPr lang="en-US" sz="1000"/>
            <a:t>-2</a:t>
          </a:r>
        </a:p>
        <a:p>
          <a:pPr algn="r"/>
          <a:endParaRPr lang="en-US" sz="1000"/>
        </a:p>
        <a:p>
          <a:pPr algn="r"/>
          <a:r>
            <a:rPr lang="en-US" sz="1000"/>
            <a:t>-4</a:t>
          </a:r>
        </a:p>
        <a:p>
          <a:pPr algn="r"/>
          <a:endParaRPr lang="en-US" sz="1000"/>
        </a:p>
        <a:p>
          <a:pPr algn="r"/>
          <a:r>
            <a:rPr lang="en-US" sz="1000"/>
            <a:t>-6</a:t>
          </a:r>
        </a:p>
      </xdr:txBody>
    </xdr:sp>
    <xdr:clientData/>
  </xdr:twoCellAnchor>
  <xdr:twoCellAnchor>
    <xdr:from>
      <xdr:col>26</xdr:col>
      <xdr:colOff>416718</xdr:colOff>
      <xdr:row>72</xdr:row>
      <xdr:rowOff>83344</xdr:rowOff>
    </xdr:from>
    <xdr:to>
      <xdr:col>26</xdr:col>
      <xdr:colOff>547687</xdr:colOff>
      <xdr:row>72</xdr:row>
      <xdr:rowOff>83344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1520BB1-33E6-BA2E-AA57-70130771B0C1}"/>
            </a:ext>
          </a:extLst>
        </xdr:cNvPr>
        <xdr:cNvCxnSpPr/>
      </xdr:nvCxnSpPr>
      <xdr:spPr>
        <a:xfrm>
          <a:off x="18109406" y="13799344"/>
          <a:ext cx="13096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418306</xdr:colOff>
      <xdr:row>79</xdr:row>
      <xdr:rowOff>5556</xdr:rowOff>
    </xdr:from>
    <xdr:to>
      <xdr:col>26</xdr:col>
      <xdr:colOff>553245</xdr:colOff>
      <xdr:row>79</xdr:row>
      <xdr:rowOff>5556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2C5F5C7-0218-474E-AD26-FB270C3E7203}"/>
            </a:ext>
          </a:extLst>
        </xdr:cNvPr>
        <xdr:cNvCxnSpPr/>
      </xdr:nvCxnSpPr>
      <xdr:spPr>
        <a:xfrm>
          <a:off x="18198306" y="15055056"/>
          <a:ext cx="13493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448468</xdr:colOff>
      <xdr:row>72</xdr:row>
      <xdr:rowOff>83344</xdr:rowOff>
    </xdr:from>
    <xdr:to>
      <xdr:col>27</xdr:col>
      <xdr:colOff>579437</xdr:colOff>
      <xdr:row>72</xdr:row>
      <xdr:rowOff>83344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721DC6E-DF5B-48B8-A02E-0AC6205005B1}"/>
            </a:ext>
          </a:extLst>
        </xdr:cNvPr>
        <xdr:cNvCxnSpPr/>
      </xdr:nvCxnSpPr>
      <xdr:spPr>
        <a:xfrm>
          <a:off x="18839656" y="13799344"/>
          <a:ext cx="13096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434181</xdr:colOff>
      <xdr:row>75</xdr:row>
      <xdr:rowOff>132556</xdr:rowOff>
    </xdr:from>
    <xdr:to>
      <xdr:col>27</xdr:col>
      <xdr:colOff>569120</xdr:colOff>
      <xdr:row>75</xdr:row>
      <xdr:rowOff>132556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F995DD5-F6EE-4233-A6B9-B4F178ADCC86}"/>
            </a:ext>
          </a:extLst>
        </xdr:cNvPr>
        <xdr:cNvCxnSpPr/>
      </xdr:nvCxnSpPr>
      <xdr:spPr>
        <a:xfrm>
          <a:off x="18825369" y="14420056"/>
          <a:ext cx="13493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465931</xdr:colOff>
      <xdr:row>72</xdr:row>
      <xdr:rowOff>76994</xdr:rowOff>
    </xdr:from>
    <xdr:to>
      <xdr:col>28</xdr:col>
      <xdr:colOff>596900</xdr:colOff>
      <xdr:row>72</xdr:row>
      <xdr:rowOff>76994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8192B1F-4E93-4398-90F9-263C8B04D265}"/>
            </a:ext>
          </a:extLst>
        </xdr:cNvPr>
        <xdr:cNvCxnSpPr/>
      </xdr:nvCxnSpPr>
      <xdr:spPr>
        <a:xfrm>
          <a:off x="19468306" y="13792994"/>
          <a:ext cx="13096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459581</xdr:colOff>
      <xdr:row>77</xdr:row>
      <xdr:rowOff>70644</xdr:rowOff>
    </xdr:from>
    <xdr:to>
      <xdr:col>28</xdr:col>
      <xdr:colOff>594520</xdr:colOff>
      <xdr:row>77</xdr:row>
      <xdr:rowOff>70644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79D062D-9AFE-40DC-BF5C-857F572AC011}"/>
            </a:ext>
          </a:extLst>
        </xdr:cNvPr>
        <xdr:cNvCxnSpPr/>
      </xdr:nvCxnSpPr>
      <xdr:spPr>
        <a:xfrm>
          <a:off x="19461956" y="14739144"/>
          <a:ext cx="13493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484188</xdr:colOff>
      <xdr:row>71</xdr:row>
      <xdr:rowOff>127000</xdr:rowOff>
    </xdr:from>
    <xdr:to>
      <xdr:col>30</xdr:col>
      <xdr:colOff>3970</xdr:colOff>
      <xdr:row>71</xdr:row>
      <xdr:rowOff>127000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37BF42D-BFD2-472C-81E7-B8785D88D73A}"/>
            </a:ext>
          </a:extLst>
        </xdr:cNvPr>
        <xdr:cNvCxnSpPr/>
      </xdr:nvCxnSpPr>
      <xdr:spPr>
        <a:xfrm>
          <a:off x="20097751" y="13652500"/>
          <a:ext cx="13096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477838</xdr:colOff>
      <xdr:row>78</xdr:row>
      <xdr:rowOff>49212</xdr:rowOff>
    </xdr:from>
    <xdr:to>
      <xdr:col>30</xdr:col>
      <xdr:colOff>1590</xdr:colOff>
      <xdr:row>78</xdr:row>
      <xdr:rowOff>49212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80E7B84-ED45-4253-8A46-75A5290548FC}"/>
            </a:ext>
          </a:extLst>
        </xdr:cNvPr>
        <xdr:cNvCxnSpPr/>
      </xdr:nvCxnSpPr>
      <xdr:spPr>
        <a:xfrm>
          <a:off x="20091401" y="14908212"/>
          <a:ext cx="13493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523875</xdr:colOff>
      <xdr:row>73</xdr:row>
      <xdr:rowOff>158750</xdr:rowOff>
    </xdr:from>
    <xdr:to>
      <xdr:col>31</xdr:col>
      <xdr:colOff>43656</xdr:colOff>
      <xdr:row>73</xdr:row>
      <xdr:rowOff>158750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63B7126-1969-477A-B3E7-1427D03372D9}"/>
            </a:ext>
          </a:extLst>
        </xdr:cNvPr>
        <xdr:cNvCxnSpPr/>
      </xdr:nvCxnSpPr>
      <xdr:spPr>
        <a:xfrm>
          <a:off x="20748625" y="14065250"/>
          <a:ext cx="13096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501650</xdr:colOff>
      <xdr:row>70</xdr:row>
      <xdr:rowOff>17462</xdr:rowOff>
    </xdr:from>
    <xdr:to>
      <xdr:col>31</xdr:col>
      <xdr:colOff>25401</xdr:colOff>
      <xdr:row>70</xdr:row>
      <xdr:rowOff>17462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B8277C5-955D-4A7A-8756-88009E8559FE}"/>
            </a:ext>
          </a:extLst>
        </xdr:cNvPr>
        <xdr:cNvCxnSpPr/>
      </xdr:nvCxnSpPr>
      <xdr:spPr>
        <a:xfrm>
          <a:off x="20726400" y="13352462"/>
          <a:ext cx="13493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523875</xdr:colOff>
      <xdr:row>72</xdr:row>
      <xdr:rowOff>0</xdr:rowOff>
    </xdr:from>
    <xdr:to>
      <xdr:col>32</xdr:col>
      <xdr:colOff>43657</xdr:colOff>
      <xdr:row>72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064D596-4375-4429-877C-21D23B22F873}"/>
            </a:ext>
          </a:extLst>
        </xdr:cNvPr>
        <xdr:cNvCxnSpPr/>
      </xdr:nvCxnSpPr>
      <xdr:spPr>
        <a:xfrm>
          <a:off x="21359813" y="13716000"/>
          <a:ext cx="13096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517525</xdr:colOff>
      <xdr:row>76</xdr:row>
      <xdr:rowOff>33339</xdr:rowOff>
    </xdr:from>
    <xdr:to>
      <xdr:col>32</xdr:col>
      <xdr:colOff>41277</xdr:colOff>
      <xdr:row>76</xdr:row>
      <xdr:rowOff>33339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263D3CE-4ACE-4C98-9EF2-D9FCB23EC23F}"/>
            </a:ext>
          </a:extLst>
        </xdr:cNvPr>
        <xdr:cNvCxnSpPr/>
      </xdr:nvCxnSpPr>
      <xdr:spPr>
        <a:xfrm>
          <a:off x="21353463" y="14511339"/>
          <a:ext cx="13493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33335</xdr:colOff>
      <xdr:row>26</xdr:row>
      <xdr:rowOff>9525</xdr:rowOff>
    </xdr:from>
    <xdr:to>
      <xdr:col>12</xdr:col>
      <xdr:colOff>250434</xdr:colOff>
      <xdr:row>31</xdr:row>
      <xdr:rowOff>161745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9F08B7-5B97-4A99-8376-A945A4860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8986</xdr:rowOff>
    </xdr:from>
    <xdr:to>
      <xdr:col>4</xdr:col>
      <xdr:colOff>19409</xdr:colOff>
      <xdr:row>31</xdr:row>
      <xdr:rowOff>179717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ED17B-C239-404C-A62D-2E30E87CD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80961</xdr:colOff>
      <xdr:row>26</xdr:row>
      <xdr:rowOff>4762</xdr:rowOff>
    </xdr:from>
    <xdr:to>
      <xdr:col>7</xdr:col>
      <xdr:colOff>533848</xdr:colOff>
      <xdr:row>31</xdr:row>
      <xdr:rowOff>179717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959A13-4689-43F5-A9D7-5C100B4B4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33</xdr:row>
      <xdr:rowOff>37650</xdr:rowOff>
    </xdr:from>
    <xdr:to>
      <xdr:col>12</xdr:col>
      <xdr:colOff>226624</xdr:colOff>
      <xdr:row>40</xdr:row>
      <xdr:rowOff>88330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F4C000-355F-4DA5-9D57-3EDF8AF19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9524</xdr:colOff>
      <xdr:row>33</xdr:row>
      <xdr:rowOff>18600</xdr:rowOff>
    </xdr:from>
    <xdr:to>
      <xdr:col>4</xdr:col>
      <xdr:colOff>28933</xdr:colOff>
      <xdr:row>40</xdr:row>
      <xdr:rowOff>69280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03A332-0EF0-4BA9-8AF9-F4866CE5A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75661</xdr:colOff>
      <xdr:row>33</xdr:row>
      <xdr:rowOff>45333</xdr:rowOff>
    </xdr:from>
    <xdr:to>
      <xdr:col>7</xdr:col>
      <xdr:colOff>528548</xdr:colOff>
      <xdr:row>40</xdr:row>
      <xdr:rowOff>96013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614666-FDD0-4EF0-AAA4-76C4AADAC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23812</xdr:colOff>
      <xdr:row>41</xdr:row>
      <xdr:rowOff>179717</xdr:rowOff>
    </xdr:from>
    <xdr:to>
      <xdr:col>12</xdr:col>
      <xdr:colOff>240911</xdr:colOff>
      <xdr:row>47</xdr:row>
      <xdr:rowOff>179717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94D503-89E7-4799-8802-BC266F97E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33336</xdr:colOff>
      <xdr:row>42</xdr:row>
      <xdr:rowOff>14826</xdr:rowOff>
    </xdr:from>
    <xdr:to>
      <xdr:col>4</xdr:col>
      <xdr:colOff>52745</xdr:colOff>
      <xdr:row>47</xdr:row>
      <xdr:rowOff>179717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5345E5-04A0-4BCE-BAF3-6485482B9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90487</xdr:colOff>
      <xdr:row>42</xdr:row>
      <xdr:rowOff>5303</xdr:rowOff>
    </xdr:from>
    <xdr:to>
      <xdr:col>7</xdr:col>
      <xdr:colOff>543374</xdr:colOff>
      <xdr:row>47</xdr:row>
      <xdr:rowOff>161747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16715E-5B4B-43B3-982F-982F5D7DE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404363</xdr:colOff>
      <xdr:row>26</xdr:row>
      <xdr:rowOff>161745</xdr:rowOff>
    </xdr:from>
    <xdr:to>
      <xdr:col>8</xdr:col>
      <xdr:colOff>404363</xdr:colOff>
      <xdr:row>30</xdr:row>
      <xdr:rowOff>98845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F3E92DE-852D-493C-AD18-1C0790CDDED7}"/>
            </a:ext>
          </a:extLst>
        </xdr:cNvPr>
        <xdr:cNvCxnSpPr/>
      </xdr:nvCxnSpPr>
      <xdr:spPr>
        <a:xfrm flipV="1">
          <a:off x="6640542" y="4879316"/>
          <a:ext cx="0" cy="691911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476250</xdr:colOff>
      <xdr:row>26</xdr:row>
      <xdr:rowOff>161745</xdr:rowOff>
    </xdr:from>
    <xdr:to>
      <xdr:col>11</xdr:col>
      <xdr:colOff>476250</xdr:colOff>
      <xdr:row>30</xdr:row>
      <xdr:rowOff>125802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1392128-E9DD-4BF3-AF26-29775031D666}"/>
            </a:ext>
          </a:extLst>
        </xdr:cNvPr>
        <xdr:cNvCxnSpPr/>
      </xdr:nvCxnSpPr>
      <xdr:spPr>
        <a:xfrm flipV="1">
          <a:off x="9084693" y="4879316"/>
          <a:ext cx="0" cy="718868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395377</xdr:colOff>
      <xdr:row>26</xdr:row>
      <xdr:rowOff>134787</xdr:rowOff>
    </xdr:from>
    <xdr:to>
      <xdr:col>1</xdr:col>
      <xdr:colOff>395377</xdr:colOff>
      <xdr:row>30</xdr:row>
      <xdr:rowOff>26958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B3FD312-747E-4AEF-ADDF-EF836EFEB377}"/>
            </a:ext>
          </a:extLst>
        </xdr:cNvPr>
        <xdr:cNvCxnSpPr/>
      </xdr:nvCxnSpPr>
      <xdr:spPr>
        <a:xfrm flipV="1">
          <a:off x="1006415" y="4852358"/>
          <a:ext cx="0" cy="646982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89859</xdr:colOff>
      <xdr:row>35</xdr:row>
      <xdr:rowOff>125799</xdr:rowOff>
    </xdr:from>
    <xdr:to>
      <xdr:col>12</xdr:col>
      <xdr:colOff>98844</xdr:colOff>
      <xdr:row>35</xdr:row>
      <xdr:rowOff>125801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12F140D-377E-4AF9-BDD8-D0D1F5648C9F}"/>
            </a:ext>
          </a:extLst>
        </xdr:cNvPr>
        <xdr:cNvCxnSpPr/>
      </xdr:nvCxnSpPr>
      <xdr:spPr>
        <a:xfrm flipV="1">
          <a:off x="7476227" y="5975587"/>
          <a:ext cx="1231060" cy="2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943514</xdr:colOff>
      <xdr:row>26</xdr:row>
      <xdr:rowOff>152759</xdr:rowOff>
    </xdr:from>
    <xdr:to>
      <xdr:col>3</xdr:col>
      <xdr:colOff>943514</xdr:colOff>
      <xdr:row>30</xdr:row>
      <xdr:rowOff>80873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486FC1C-6C11-40EC-9C46-E9008F9BF280}"/>
            </a:ext>
          </a:extLst>
        </xdr:cNvPr>
        <xdr:cNvCxnSpPr/>
      </xdr:nvCxnSpPr>
      <xdr:spPr>
        <a:xfrm flipV="1">
          <a:off x="3423608" y="4870330"/>
          <a:ext cx="0" cy="682925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323490</xdr:colOff>
      <xdr:row>39</xdr:row>
      <xdr:rowOff>143774</xdr:rowOff>
    </xdr:from>
    <xdr:to>
      <xdr:col>12</xdr:col>
      <xdr:colOff>26958</xdr:colOff>
      <xdr:row>39</xdr:row>
      <xdr:rowOff>161745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53A3334-302F-4A89-B568-C693667AB7EE}"/>
            </a:ext>
          </a:extLst>
        </xdr:cNvPr>
        <xdr:cNvCxnSpPr/>
      </xdr:nvCxnSpPr>
      <xdr:spPr>
        <a:xfrm>
          <a:off x="5948632" y="6748373"/>
          <a:ext cx="2686769" cy="17971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386392</xdr:colOff>
      <xdr:row>35</xdr:row>
      <xdr:rowOff>104327</xdr:rowOff>
    </xdr:from>
    <xdr:to>
      <xdr:col>3</xdr:col>
      <xdr:colOff>1163985</xdr:colOff>
      <xdr:row>35</xdr:row>
      <xdr:rowOff>116815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FAEF044-B40E-4DD6-9CD3-17C518A80B6C}"/>
            </a:ext>
          </a:extLst>
        </xdr:cNvPr>
        <xdr:cNvCxnSpPr/>
      </xdr:nvCxnSpPr>
      <xdr:spPr>
        <a:xfrm flipV="1">
          <a:off x="386392" y="5954115"/>
          <a:ext cx="2646650" cy="12488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350448</xdr:colOff>
      <xdr:row>39</xdr:row>
      <xdr:rowOff>107830</xdr:rowOff>
    </xdr:from>
    <xdr:to>
      <xdr:col>3</xdr:col>
      <xdr:colOff>1154999</xdr:colOff>
      <xdr:row>39</xdr:row>
      <xdr:rowOff>120277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B11037D-6FB2-49F7-9E70-4EE73022BAFD}"/>
            </a:ext>
          </a:extLst>
        </xdr:cNvPr>
        <xdr:cNvCxnSpPr/>
      </xdr:nvCxnSpPr>
      <xdr:spPr>
        <a:xfrm>
          <a:off x="350448" y="6712429"/>
          <a:ext cx="2673608" cy="12447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81472</xdr:colOff>
      <xdr:row>37</xdr:row>
      <xdr:rowOff>38139</xdr:rowOff>
    </xdr:from>
    <xdr:to>
      <xdr:col>13</xdr:col>
      <xdr:colOff>5819</xdr:colOff>
      <xdr:row>40</xdr:row>
      <xdr:rowOff>152439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6232FCF-3301-458F-914F-A4487C6D8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89915" y="6265332"/>
          <a:ext cx="202908" cy="680408"/>
        </a:xfrm>
        <a:prstGeom prst="rect">
          <a:avLst/>
        </a:prstGeom>
      </xdr:spPr>
    </xdr:pic>
    <xdr:clientData/>
  </xdr:twoCellAnchor>
  <xdr:twoCellAnchor editAs="oneCell">
    <xdr:from>
      <xdr:col>12</xdr:col>
      <xdr:colOff>56346</xdr:colOff>
      <xdr:row>33</xdr:row>
      <xdr:rowOff>106669</xdr:rowOff>
    </xdr:from>
    <xdr:to>
      <xdr:col>12</xdr:col>
      <xdr:colOff>264990</xdr:colOff>
      <xdr:row>37</xdr:row>
      <xdr:rowOff>30468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EADE684-1B59-454E-B334-826EA806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64789" y="5579051"/>
          <a:ext cx="208644" cy="678611"/>
        </a:xfrm>
        <a:prstGeom prst="rect">
          <a:avLst/>
        </a:prstGeom>
      </xdr:spPr>
    </xdr:pic>
    <xdr:clientData/>
  </xdr:twoCellAnchor>
  <xdr:twoCellAnchor editAs="oneCell">
    <xdr:from>
      <xdr:col>1</xdr:col>
      <xdr:colOff>14523</xdr:colOff>
      <xdr:row>36</xdr:row>
      <xdr:rowOff>184631</xdr:rowOff>
    </xdr:from>
    <xdr:to>
      <xdr:col>1</xdr:col>
      <xdr:colOff>217537</xdr:colOff>
      <xdr:row>40</xdr:row>
      <xdr:rowOff>108431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43F06F2-B2DB-44FE-862C-13F920EBC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561" y="6223122"/>
          <a:ext cx="203014" cy="678611"/>
        </a:xfrm>
        <a:prstGeom prst="rect">
          <a:avLst/>
        </a:prstGeom>
      </xdr:spPr>
    </xdr:pic>
    <xdr:clientData/>
  </xdr:twoCellAnchor>
  <xdr:twoCellAnchor editAs="oneCell">
    <xdr:from>
      <xdr:col>1</xdr:col>
      <xdr:colOff>57092</xdr:colOff>
      <xdr:row>33</xdr:row>
      <xdr:rowOff>56644</xdr:rowOff>
    </xdr:from>
    <xdr:to>
      <xdr:col>1</xdr:col>
      <xdr:colOff>262841</xdr:colOff>
      <xdr:row>36</xdr:row>
      <xdr:rowOff>169146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E03333D-CCD1-45AC-A447-4973130D9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92" y="5529026"/>
          <a:ext cx="205749" cy="678611"/>
        </a:xfrm>
        <a:prstGeom prst="rect">
          <a:avLst/>
        </a:prstGeom>
      </xdr:spPr>
    </xdr:pic>
    <xdr:clientData/>
  </xdr:twoCellAnchor>
  <xdr:twoCellAnchor editAs="oneCell">
    <xdr:from>
      <xdr:col>1</xdr:col>
      <xdr:colOff>85738</xdr:colOff>
      <xdr:row>42</xdr:row>
      <xdr:rowOff>116887</xdr:rowOff>
    </xdr:from>
    <xdr:to>
      <xdr:col>1</xdr:col>
      <xdr:colOff>317673</xdr:colOff>
      <xdr:row>46</xdr:row>
      <xdr:rowOff>40687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4A5A603-B14C-4FF1-851B-1C02DD0C7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776" y="7665000"/>
          <a:ext cx="231935" cy="678611"/>
        </a:xfrm>
        <a:prstGeom prst="rect">
          <a:avLst/>
        </a:prstGeom>
      </xdr:spPr>
    </xdr:pic>
    <xdr:clientData/>
  </xdr:twoCellAnchor>
  <xdr:twoCellAnchor>
    <xdr:from>
      <xdr:col>1</xdr:col>
      <xdr:colOff>53914</xdr:colOff>
      <xdr:row>49</xdr:row>
      <xdr:rowOff>53915</xdr:rowOff>
    </xdr:from>
    <xdr:to>
      <xdr:col>4</xdr:col>
      <xdr:colOff>73323</xdr:colOff>
      <xdr:row>55</xdr:row>
      <xdr:rowOff>64698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F2D63290-DF6F-475A-AE59-45B82BA17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</xdr:col>
      <xdr:colOff>94724</xdr:colOff>
      <xdr:row>49</xdr:row>
      <xdr:rowOff>167207</xdr:rowOff>
    </xdr:from>
    <xdr:to>
      <xdr:col>1</xdr:col>
      <xdr:colOff>326659</xdr:colOff>
      <xdr:row>53</xdr:row>
      <xdr:rowOff>91007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D45FF677-5D77-4128-BA78-CE60ADE7C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762" y="9036240"/>
          <a:ext cx="231935" cy="678611"/>
        </a:xfrm>
        <a:prstGeom prst="rect">
          <a:avLst/>
        </a:prstGeom>
      </xdr:spPr>
    </xdr:pic>
    <xdr:clientData/>
  </xdr:twoCellAnchor>
  <xdr:twoCellAnchor>
    <xdr:from>
      <xdr:col>8</xdr:col>
      <xdr:colOff>35943</xdr:colOff>
      <xdr:row>49</xdr:row>
      <xdr:rowOff>71886</xdr:rowOff>
    </xdr:from>
    <xdr:to>
      <xdr:col>12</xdr:col>
      <xdr:colOff>253042</xdr:colOff>
      <xdr:row>55</xdr:row>
      <xdr:rowOff>82669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559C1468-F349-4177-880E-35F9FCCA8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11</xdr:col>
      <xdr:colOff>589870</xdr:colOff>
      <xdr:row>50</xdr:row>
      <xdr:rowOff>43532</xdr:rowOff>
    </xdr:from>
    <xdr:to>
      <xdr:col>12</xdr:col>
      <xdr:colOff>210767</xdr:colOff>
      <xdr:row>53</xdr:row>
      <xdr:rowOff>157832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1845D2B-51B7-44E9-B639-7E59C2E95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98313" y="9101268"/>
          <a:ext cx="231935" cy="680408"/>
        </a:xfrm>
        <a:prstGeom prst="rect">
          <a:avLst/>
        </a:prstGeom>
      </xdr:spPr>
    </xdr:pic>
    <xdr:clientData/>
  </xdr:twoCellAnchor>
  <xdr:twoCellAnchor>
    <xdr:from>
      <xdr:col>4</xdr:col>
      <xdr:colOff>107830</xdr:colOff>
      <xdr:row>49</xdr:row>
      <xdr:rowOff>53916</xdr:rowOff>
    </xdr:from>
    <xdr:to>
      <xdr:col>7</xdr:col>
      <xdr:colOff>560717</xdr:colOff>
      <xdr:row>55</xdr:row>
      <xdr:rowOff>64699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69B79A12-EFDE-400C-B6DB-123EE70EF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359075</xdr:colOff>
      <xdr:row>35</xdr:row>
      <xdr:rowOff>125440</xdr:rowOff>
    </xdr:from>
    <xdr:to>
      <xdr:col>9</xdr:col>
      <xdr:colOff>979098</xdr:colOff>
      <xdr:row>35</xdr:row>
      <xdr:rowOff>125442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8CFCA03-CA6B-4965-8C45-5B70EC812DD2}"/>
            </a:ext>
          </a:extLst>
        </xdr:cNvPr>
        <xdr:cNvCxnSpPr/>
      </xdr:nvCxnSpPr>
      <xdr:spPr>
        <a:xfrm flipV="1">
          <a:off x="5984217" y="5975228"/>
          <a:ext cx="1231060" cy="2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9884</xdr:colOff>
      <xdr:row>25</xdr:row>
      <xdr:rowOff>170732</xdr:rowOff>
    </xdr:from>
    <xdr:to>
      <xdr:col>21</xdr:col>
      <xdr:colOff>469600</xdr:colOff>
      <xdr:row>32</xdr:row>
      <xdr:rowOff>8986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21EC46E-AD24-41C1-A00D-1AB1637B9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152760</xdr:colOff>
      <xdr:row>26</xdr:row>
      <xdr:rowOff>143773</xdr:rowOff>
    </xdr:from>
    <xdr:to>
      <xdr:col>19</xdr:col>
      <xdr:colOff>161745</xdr:colOff>
      <xdr:row>30</xdr:row>
      <xdr:rowOff>62901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DE5B175-7A59-414A-8E1B-BC9EF72EF806}"/>
            </a:ext>
          </a:extLst>
        </xdr:cNvPr>
        <xdr:cNvCxnSpPr/>
      </xdr:nvCxnSpPr>
      <xdr:spPr>
        <a:xfrm flipV="1">
          <a:off x="14008939" y="5050047"/>
          <a:ext cx="8985" cy="673939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26</xdr:row>
      <xdr:rowOff>0</xdr:rowOff>
    </xdr:from>
    <xdr:to>
      <xdr:col>29</xdr:col>
      <xdr:colOff>10424</xdr:colOff>
      <xdr:row>32</xdr:row>
      <xdr:rowOff>8985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4C4273B2-8DB9-4EAC-AD23-2499C3FAE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89501</xdr:colOff>
      <xdr:row>26</xdr:row>
      <xdr:rowOff>134428</xdr:rowOff>
    </xdr:from>
    <xdr:to>
      <xdr:col>26</xdr:col>
      <xdr:colOff>98486</xdr:colOff>
      <xdr:row>30</xdr:row>
      <xdr:rowOff>53556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532684F-C48E-4BC5-BE14-134734C3EC23}"/>
            </a:ext>
          </a:extLst>
        </xdr:cNvPr>
        <xdr:cNvCxnSpPr/>
      </xdr:nvCxnSpPr>
      <xdr:spPr>
        <a:xfrm flipV="1">
          <a:off x="19067614" y="4851999"/>
          <a:ext cx="8985" cy="673939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1674963</xdr:colOff>
      <xdr:row>32</xdr:row>
      <xdr:rowOff>8985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A94516E1-C353-43B1-A00A-46C117E4F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143775</xdr:colOff>
      <xdr:row>26</xdr:row>
      <xdr:rowOff>134787</xdr:rowOff>
    </xdr:from>
    <xdr:to>
      <xdr:col>19</xdr:col>
      <xdr:colOff>134788</xdr:colOff>
      <xdr:row>30</xdr:row>
      <xdr:rowOff>80873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57FB9D9-47E3-1150-1373-1A87C1DF816E}"/>
            </a:ext>
          </a:extLst>
        </xdr:cNvPr>
        <xdr:cNvSpPr/>
      </xdr:nvSpPr>
      <xdr:spPr>
        <a:xfrm>
          <a:off x="12265685" y="5041061"/>
          <a:ext cx="1725282" cy="700897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89859</xdr:colOff>
      <xdr:row>26</xdr:row>
      <xdr:rowOff>125442</xdr:rowOff>
    </xdr:from>
    <xdr:to>
      <xdr:col>28</xdr:col>
      <xdr:colOff>601693</xdr:colOff>
      <xdr:row>30</xdr:row>
      <xdr:rowOff>71528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457E213-9366-481B-8791-8B74E12337D3}"/>
            </a:ext>
          </a:extLst>
        </xdr:cNvPr>
        <xdr:cNvSpPr/>
      </xdr:nvSpPr>
      <xdr:spPr>
        <a:xfrm>
          <a:off x="18942170" y="4843013"/>
          <a:ext cx="1733910" cy="700897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485237</xdr:colOff>
      <xdr:row>26</xdr:row>
      <xdr:rowOff>143773</xdr:rowOff>
    </xdr:from>
    <xdr:to>
      <xdr:col>12</xdr:col>
      <xdr:colOff>107830</xdr:colOff>
      <xdr:row>30</xdr:row>
      <xdr:rowOff>89859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4915920D-4F1B-4646-8513-26357FA88C4C}"/>
            </a:ext>
          </a:extLst>
        </xdr:cNvPr>
        <xdr:cNvSpPr/>
      </xdr:nvSpPr>
      <xdr:spPr>
        <a:xfrm>
          <a:off x="9093680" y="4861344"/>
          <a:ext cx="233631" cy="700897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41044</xdr:colOff>
      <xdr:row>26</xdr:row>
      <xdr:rowOff>150401</xdr:rowOff>
    </xdr:from>
    <xdr:to>
      <xdr:col>12</xdr:col>
      <xdr:colOff>244991</xdr:colOff>
      <xdr:row>30</xdr:row>
      <xdr:rowOff>75999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E35DD6B-505D-4C32-8CF8-BD2A83110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260525" y="4867972"/>
          <a:ext cx="203947" cy="680409"/>
        </a:xfrm>
        <a:prstGeom prst="rect">
          <a:avLst/>
        </a:prstGeom>
      </xdr:spPr>
    </xdr:pic>
    <xdr:clientData/>
  </xdr:twoCellAnchor>
  <xdr:twoCellAnchor>
    <xdr:from>
      <xdr:col>8</xdr:col>
      <xdr:colOff>161746</xdr:colOff>
      <xdr:row>26</xdr:row>
      <xdr:rowOff>152759</xdr:rowOff>
    </xdr:from>
    <xdr:to>
      <xdr:col>8</xdr:col>
      <xdr:colOff>395375</xdr:colOff>
      <xdr:row>30</xdr:row>
      <xdr:rowOff>98845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A3C58C65-89B9-4B1C-A2D9-0198CEB29B5D}"/>
            </a:ext>
          </a:extLst>
        </xdr:cNvPr>
        <xdr:cNvSpPr/>
      </xdr:nvSpPr>
      <xdr:spPr>
        <a:xfrm>
          <a:off x="6397925" y="4870330"/>
          <a:ext cx="233629" cy="700897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70420</xdr:colOff>
      <xdr:row>26</xdr:row>
      <xdr:rowOff>141415</xdr:rowOff>
    </xdr:from>
    <xdr:to>
      <xdr:col>8</xdr:col>
      <xdr:colOff>277164</xdr:colOff>
      <xdr:row>30</xdr:row>
      <xdr:rowOff>67013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C5811F8-CDB3-46F6-9269-1303CEEC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299770" y="5094415"/>
          <a:ext cx="206744" cy="687598"/>
        </a:xfrm>
        <a:prstGeom prst="rect">
          <a:avLst/>
        </a:prstGeom>
        <a:noFill/>
      </xdr:spPr>
    </xdr:pic>
    <xdr:clientData/>
  </xdr:twoCellAnchor>
  <xdr:twoCellAnchor>
    <xdr:from>
      <xdr:col>3</xdr:col>
      <xdr:colOff>962745</xdr:colOff>
      <xdr:row>26</xdr:row>
      <xdr:rowOff>116456</xdr:rowOff>
    </xdr:from>
    <xdr:to>
      <xdr:col>3</xdr:col>
      <xdr:colOff>1196376</xdr:colOff>
      <xdr:row>30</xdr:row>
      <xdr:rowOff>62542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6B81AD2E-1861-4D93-8DB0-6E91240695BB}"/>
            </a:ext>
          </a:extLst>
        </xdr:cNvPr>
        <xdr:cNvSpPr/>
      </xdr:nvSpPr>
      <xdr:spPr>
        <a:xfrm>
          <a:off x="3439245" y="5069456"/>
          <a:ext cx="233631" cy="708086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</xdr:colOff>
      <xdr:row>26</xdr:row>
      <xdr:rowOff>125442</xdr:rowOff>
    </xdr:from>
    <xdr:to>
      <xdr:col>1</xdr:col>
      <xdr:colOff>386029</xdr:colOff>
      <xdr:row>30</xdr:row>
      <xdr:rowOff>71528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9F03B88-7983-4F31-B26F-D5977145A48C}"/>
            </a:ext>
          </a:extLst>
        </xdr:cNvPr>
        <xdr:cNvSpPr/>
      </xdr:nvSpPr>
      <xdr:spPr>
        <a:xfrm>
          <a:off x="763438" y="4843013"/>
          <a:ext cx="233629" cy="700897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1091082</xdr:colOff>
      <xdr:row>26</xdr:row>
      <xdr:rowOff>150401</xdr:rowOff>
    </xdr:from>
    <xdr:to>
      <xdr:col>3</xdr:col>
      <xdr:colOff>1297826</xdr:colOff>
      <xdr:row>30</xdr:row>
      <xdr:rowOff>75999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2C41B8A-BE17-486F-B7DF-6A7A6DBC7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176" y="4867972"/>
          <a:ext cx="206744" cy="680409"/>
        </a:xfrm>
        <a:prstGeom prst="rect">
          <a:avLst/>
        </a:prstGeom>
      </xdr:spPr>
    </xdr:pic>
    <xdr:clientData/>
  </xdr:twoCellAnchor>
  <xdr:twoCellAnchor editAs="oneCell">
    <xdr:from>
      <xdr:col>1</xdr:col>
      <xdr:colOff>54751</xdr:colOff>
      <xdr:row>26</xdr:row>
      <xdr:rowOff>168373</xdr:rowOff>
    </xdr:from>
    <xdr:to>
      <xdr:col>1</xdr:col>
      <xdr:colOff>261852</xdr:colOff>
      <xdr:row>30</xdr:row>
      <xdr:rowOff>93971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A107EE7-1C36-4EB6-ABDE-14008E67E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89" y="4885944"/>
          <a:ext cx="207101" cy="680409"/>
        </a:xfrm>
        <a:prstGeom prst="rect">
          <a:avLst/>
        </a:prstGeom>
      </xdr:spPr>
    </xdr:pic>
    <xdr:clientData/>
  </xdr:twoCellAnchor>
  <xdr:twoCellAnchor>
    <xdr:from>
      <xdr:col>8</xdr:col>
      <xdr:colOff>350448</xdr:colOff>
      <xdr:row>33</xdr:row>
      <xdr:rowOff>152760</xdr:rowOff>
    </xdr:from>
    <xdr:to>
      <xdr:col>12</xdr:col>
      <xdr:colOff>89859</xdr:colOff>
      <xdr:row>35</xdr:row>
      <xdr:rowOff>125802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91E360B-4B00-45DA-8353-BD9357E96847}"/>
            </a:ext>
          </a:extLst>
        </xdr:cNvPr>
        <xdr:cNvSpPr/>
      </xdr:nvSpPr>
      <xdr:spPr>
        <a:xfrm>
          <a:off x="6586627" y="6002548"/>
          <a:ext cx="2722713" cy="350447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341103</xdr:colOff>
      <xdr:row>39</xdr:row>
      <xdr:rowOff>107472</xdr:rowOff>
    </xdr:from>
    <xdr:to>
      <xdr:col>12</xdr:col>
      <xdr:colOff>80514</xdr:colOff>
      <xdr:row>40</xdr:row>
      <xdr:rowOff>98845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3790D28-11F8-493E-B86E-663EAAA8C3CB}"/>
            </a:ext>
          </a:extLst>
        </xdr:cNvPr>
        <xdr:cNvSpPr/>
      </xdr:nvSpPr>
      <xdr:spPr>
        <a:xfrm>
          <a:off x="6577282" y="7089477"/>
          <a:ext cx="2722713" cy="180076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341103</xdr:colOff>
      <xdr:row>33</xdr:row>
      <xdr:rowOff>143414</xdr:rowOff>
    </xdr:from>
    <xdr:to>
      <xdr:col>3</xdr:col>
      <xdr:colOff>1194760</xdr:colOff>
      <xdr:row>35</xdr:row>
      <xdr:rowOff>116456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720D2286-5BDD-4532-932F-690227A445C1}"/>
            </a:ext>
          </a:extLst>
        </xdr:cNvPr>
        <xdr:cNvSpPr/>
      </xdr:nvSpPr>
      <xdr:spPr>
        <a:xfrm>
          <a:off x="952141" y="5993202"/>
          <a:ext cx="2722713" cy="350447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331758</xdr:colOff>
      <xdr:row>39</xdr:row>
      <xdr:rowOff>98126</xdr:rowOff>
    </xdr:from>
    <xdr:to>
      <xdr:col>3</xdr:col>
      <xdr:colOff>1185415</xdr:colOff>
      <xdr:row>40</xdr:row>
      <xdr:rowOff>89499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3B9113A4-B521-4B0C-A3B5-C4A33820BE64}"/>
            </a:ext>
          </a:extLst>
        </xdr:cNvPr>
        <xdr:cNvSpPr/>
      </xdr:nvSpPr>
      <xdr:spPr>
        <a:xfrm>
          <a:off x="942796" y="7080131"/>
          <a:ext cx="2722713" cy="180076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529805</xdr:colOff>
      <xdr:row>42</xdr:row>
      <xdr:rowOff>98485</xdr:rowOff>
    </xdr:from>
    <xdr:to>
      <xdr:col>8</xdr:col>
      <xdr:colOff>529805</xdr:colOff>
      <xdr:row>46</xdr:row>
      <xdr:rowOff>35584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803B2354-10CF-4BEE-8E7F-995B53000CBC}"/>
            </a:ext>
          </a:extLst>
        </xdr:cNvPr>
        <xdr:cNvCxnSpPr/>
      </xdr:nvCxnSpPr>
      <xdr:spPr>
        <a:xfrm flipV="1">
          <a:off x="6765984" y="7646598"/>
          <a:ext cx="0" cy="691911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861922</xdr:colOff>
      <xdr:row>42</xdr:row>
      <xdr:rowOff>152040</xdr:rowOff>
    </xdr:from>
    <xdr:to>
      <xdr:col>3</xdr:col>
      <xdr:colOff>861922</xdr:colOff>
      <xdr:row>46</xdr:row>
      <xdr:rowOff>89139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4FA289D2-53B7-43E9-BF2D-DC515724D013}"/>
            </a:ext>
          </a:extLst>
        </xdr:cNvPr>
        <xdr:cNvCxnSpPr/>
      </xdr:nvCxnSpPr>
      <xdr:spPr>
        <a:xfrm flipV="1">
          <a:off x="3342016" y="7700153"/>
          <a:ext cx="0" cy="691911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170731</xdr:colOff>
      <xdr:row>42</xdr:row>
      <xdr:rowOff>89498</xdr:rowOff>
    </xdr:from>
    <xdr:to>
      <xdr:col>8</xdr:col>
      <xdr:colOff>511834</xdr:colOff>
      <xdr:row>46</xdr:row>
      <xdr:rowOff>35583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C4D84846-D6A0-43B9-9D2C-EAD9ADB121A9}"/>
            </a:ext>
          </a:extLst>
        </xdr:cNvPr>
        <xdr:cNvSpPr/>
      </xdr:nvSpPr>
      <xdr:spPr>
        <a:xfrm>
          <a:off x="6406910" y="7637611"/>
          <a:ext cx="341103" cy="700897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29154</xdr:colOff>
      <xdr:row>42</xdr:row>
      <xdr:rowOff>163942</xdr:rowOff>
    </xdr:from>
    <xdr:to>
      <xdr:col>12</xdr:col>
      <xdr:colOff>261089</xdr:colOff>
      <xdr:row>46</xdr:row>
      <xdr:rowOff>89539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519B62E-0615-4659-80B9-0057B6149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248635" y="7712055"/>
          <a:ext cx="231935" cy="680408"/>
        </a:xfrm>
        <a:prstGeom prst="rect">
          <a:avLst/>
        </a:prstGeom>
      </xdr:spPr>
    </xdr:pic>
    <xdr:clientData/>
  </xdr:twoCellAnchor>
  <xdr:twoCellAnchor editAs="oneCell">
    <xdr:from>
      <xdr:col>8</xdr:col>
      <xdr:colOff>21403</xdr:colOff>
      <xdr:row>42</xdr:row>
      <xdr:rowOff>122444</xdr:rowOff>
    </xdr:from>
    <xdr:to>
      <xdr:col>8</xdr:col>
      <xdr:colOff>253338</xdr:colOff>
      <xdr:row>46</xdr:row>
      <xdr:rowOff>46244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859B9DE-81DF-43AD-9A07-DFA1921C7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257582" y="7670557"/>
          <a:ext cx="231935" cy="678611"/>
        </a:xfrm>
        <a:prstGeom prst="rect">
          <a:avLst/>
        </a:prstGeom>
      </xdr:spPr>
    </xdr:pic>
    <xdr:clientData/>
  </xdr:twoCellAnchor>
  <xdr:twoCellAnchor>
    <xdr:from>
      <xdr:col>8</xdr:col>
      <xdr:colOff>206676</xdr:colOff>
      <xdr:row>50</xdr:row>
      <xdr:rowOff>35944</xdr:rowOff>
    </xdr:from>
    <xdr:to>
      <xdr:col>9</xdr:col>
      <xdr:colOff>1032654</xdr:colOff>
      <xdr:row>53</xdr:row>
      <xdr:rowOff>134070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916A249-C572-49F2-B023-7323F2A660F6}"/>
            </a:ext>
          </a:extLst>
        </xdr:cNvPr>
        <xdr:cNvSpPr/>
      </xdr:nvSpPr>
      <xdr:spPr>
        <a:xfrm>
          <a:off x="6442855" y="9093680"/>
          <a:ext cx="1437016" cy="664234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871267</xdr:colOff>
      <xdr:row>42</xdr:row>
      <xdr:rowOff>152041</xdr:rowOff>
    </xdr:from>
    <xdr:to>
      <xdr:col>3</xdr:col>
      <xdr:colOff>1212370</xdr:colOff>
      <xdr:row>46</xdr:row>
      <xdr:rowOff>98126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1ED16EB-9972-456E-86F5-0EE40A53D8D5}"/>
            </a:ext>
          </a:extLst>
        </xdr:cNvPr>
        <xdr:cNvSpPr/>
      </xdr:nvSpPr>
      <xdr:spPr>
        <a:xfrm>
          <a:off x="3351361" y="7700154"/>
          <a:ext cx="341103" cy="700897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502849</xdr:colOff>
      <xdr:row>49</xdr:row>
      <xdr:rowOff>179359</xdr:rowOff>
    </xdr:from>
    <xdr:to>
      <xdr:col>3</xdr:col>
      <xdr:colOff>1220997</xdr:colOff>
      <xdr:row>53</xdr:row>
      <xdr:rowOff>88782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49D4CF5A-4BDB-4817-AC4F-EBE48CAA0F68}"/>
            </a:ext>
          </a:extLst>
        </xdr:cNvPr>
        <xdr:cNvSpPr/>
      </xdr:nvSpPr>
      <xdr:spPr>
        <a:xfrm>
          <a:off x="2264075" y="9048392"/>
          <a:ext cx="1437016" cy="664234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1120943</xdr:colOff>
      <xdr:row>42</xdr:row>
      <xdr:rowOff>138289</xdr:rowOff>
    </xdr:from>
    <xdr:to>
      <xdr:col>4</xdr:col>
      <xdr:colOff>40903</xdr:colOff>
      <xdr:row>46</xdr:row>
      <xdr:rowOff>62089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7E3029C-F471-4C41-9EA6-E809EE719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1037" y="7686402"/>
          <a:ext cx="231894" cy="678611"/>
        </a:xfrm>
        <a:prstGeom prst="rect">
          <a:avLst/>
        </a:prstGeom>
      </xdr:spPr>
    </xdr:pic>
    <xdr:clientData/>
  </xdr:twoCellAnchor>
  <xdr:twoCellAnchor editAs="oneCell">
    <xdr:from>
      <xdr:col>3</xdr:col>
      <xdr:colOff>1111958</xdr:colOff>
      <xdr:row>49</xdr:row>
      <xdr:rowOff>179623</xdr:rowOff>
    </xdr:from>
    <xdr:to>
      <xdr:col>4</xdr:col>
      <xdr:colOff>31918</xdr:colOff>
      <xdr:row>53</xdr:row>
      <xdr:rowOff>103423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8B99643-3969-4A92-B5CD-181175EA2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2052" y="9048656"/>
          <a:ext cx="231894" cy="678611"/>
        </a:xfrm>
        <a:prstGeom prst="rect">
          <a:avLst/>
        </a:prstGeom>
      </xdr:spPr>
    </xdr:pic>
    <xdr:clientData/>
  </xdr:twoCellAnchor>
  <xdr:twoCellAnchor editAs="oneCell">
    <xdr:from>
      <xdr:col>8</xdr:col>
      <xdr:colOff>69926</xdr:colOff>
      <xdr:row>50</xdr:row>
      <xdr:rowOff>28991</xdr:rowOff>
    </xdr:from>
    <xdr:to>
      <xdr:col>8</xdr:col>
      <xdr:colOff>301861</xdr:colOff>
      <xdr:row>53</xdr:row>
      <xdr:rowOff>141494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0BA498E-4EC1-4263-ADA1-89EA60874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306105" y="9086727"/>
          <a:ext cx="231935" cy="678611"/>
        </a:xfrm>
        <a:prstGeom prst="rect">
          <a:avLst/>
        </a:prstGeom>
      </xdr:spPr>
    </xdr:pic>
    <xdr:clientData/>
  </xdr:twoCellAnchor>
  <xdr:twoCellAnchor editAs="oneCell">
    <xdr:from>
      <xdr:col>23</xdr:col>
      <xdr:colOff>1500639</xdr:colOff>
      <xdr:row>26</xdr:row>
      <xdr:rowOff>143774</xdr:rowOff>
    </xdr:from>
    <xdr:to>
      <xdr:col>24</xdr:col>
      <xdr:colOff>663</xdr:colOff>
      <xdr:row>30</xdr:row>
      <xdr:rowOff>74763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D8DC943-2E5E-CFF3-E7FF-8E4168456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50521" y="5050048"/>
          <a:ext cx="178805" cy="685800"/>
        </a:xfrm>
        <a:prstGeom prst="rect">
          <a:avLst/>
        </a:prstGeom>
      </xdr:spPr>
    </xdr:pic>
    <xdr:clientData/>
  </xdr:twoCellAnchor>
  <xdr:twoCellAnchor editAs="oneCell">
    <xdr:from>
      <xdr:col>22</xdr:col>
      <xdr:colOff>36145</xdr:colOff>
      <xdr:row>26</xdr:row>
      <xdr:rowOff>152759</xdr:rowOff>
    </xdr:from>
    <xdr:to>
      <xdr:col>22</xdr:col>
      <xdr:colOff>215332</xdr:colOff>
      <xdr:row>30</xdr:row>
      <xdr:rowOff>83748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1DFCE3F-FFF8-11FD-1023-07021126F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74989" y="5059033"/>
          <a:ext cx="179187" cy="685800"/>
        </a:xfrm>
        <a:prstGeom prst="rect">
          <a:avLst/>
        </a:prstGeom>
      </xdr:spPr>
    </xdr:pic>
    <xdr:clientData/>
  </xdr:twoCellAnchor>
  <xdr:twoCellAnchor>
    <xdr:from>
      <xdr:col>17</xdr:col>
      <xdr:colOff>17972</xdr:colOff>
      <xdr:row>33</xdr:row>
      <xdr:rowOff>0</xdr:rowOff>
    </xdr:from>
    <xdr:to>
      <xdr:col>22</xdr:col>
      <xdr:colOff>1438</xdr:colOff>
      <xdr:row>39</xdr:row>
      <xdr:rowOff>26957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5FD7E34-BDF9-45C9-9A84-6C392B5A7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19</xdr:col>
      <xdr:colOff>160848</xdr:colOff>
      <xdr:row>33</xdr:row>
      <xdr:rowOff>170730</xdr:rowOff>
    </xdr:from>
    <xdr:to>
      <xdr:col>19</xdr:col>
      <xdr:colOff>169833</xdr:colOff>
      <xdr:row>37</xdr:row>
      <xdr:rowOff>89857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373F6373-D56C-4431-843C-9D0E8677EC6F}"/>
            </a:ext>
          </a:extLst>
        </xdr:cNvPr>
        <xdr:cNvCxnSpPr/>
      </xdr:nvCxnSpPr>
      <xdr:spPr>
        <a:xfrm flipV="1">
          <a:off x="14017027" y="6397923"/>
          <a:ext cx="8985" cy="673939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1670470</xdr:colOff>
      <xdr:row>33</xdr:row>
      <xdr:rowOff>17971</xdr:rowOff>
    </xdr:from>
    <xdr:to>
      <xdr:col>29</xdr:col>
      <xdr:colOff>540</xdr:colOff>
      <xdr:row>39</xdr:row>
      <xdr:rowOff>26956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305CC76-F442-4DB9-9E81-72C7D6754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21</xdr:col>
      <xdr:colOff>466366</xdr:colOff>
      <xdr:row>33</xdr:row>
      <xdr:rowOff>17971</xdr:rowOff>
    </xdr:from>
    <xdr:to>
      <xdr:col>23</xdr:col>
      <xdr:colOff>1665079</xdr:colOff>
      <xdr:row>39</xdr:row>
      <xdr:rowOff>26956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CBE7228-8B38-4514-8496-C7D924384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152403</xdr:colOff>
      <xdr:row>33</xdr:row>
      <xdr:rowOff>106211</xdr:rowOff>
    </xdr:from>
    <xdr:to>
      <xdr:col>19</xdr:col>
      <xdr:colOff>180975</xdr:colOff>
      <xdr:row>37</xdr:row>
      <xdr:rowOff>52296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9211168-C7EF-43D5-9F04-7BC3A6CB489D}"/>
            </a:ext>
          </a:extLst>
        </xdr:cNvPr>
        <xdr:cNvSpPr/>
      </xdr:nvSpPr>
      <xdr:spPr>
        <a:xfrm>
          <a:off x="12258678" y="6392711"/>
          <a:ext cx="1762122" cy="708085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97946</xdr:colOff>
      <xdr:row>33</xdr:row>
      <xdr:rowOff>116456</xdr:rowOff>
    </xdr:from>
    <xdr:to>
      <xdr:col>28</xdr:col>
      <xdr:colOff>609780</xdr:colOff>
      <xdr:row>37</xdr:row>
      <xdr:rowOff>62541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643C5A5-2545-4426-9FA0-DD60577E59F2}"/>
            </a:ext>
          </a:extLst>
        </xdr:cNvPr>
        <xdr:cNvSpPr/>
      </xdr:nvSpPr>
      <xdr:spPr>
        <a:xfrm>
          <a:off x="18950257" y="6343649"/>
          <a:ext cx="1733910" cy="700897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23</xdr:col>
      <xdr:colOff>1490754</xdr:colOff>
      <xdr:row>33</xdr:row>
      <xdr:rowOff>170731</xdr:rowOff>
    </xdr:from>
    <xdr:to>
      <xdr:col>23</xdr:col>
      <xdr:colOff>1669559</xdr:colOff>
      <xdr:row>37</xdr:row>
      <xdr:rowOff>101719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C4E6929-7AAC-4DCA-9518-C4A45D3BA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40636" y="6397924"/>
          <a:ext cx="178805" cy="685800"/>
        </a:xfrm>
        <a:prstGeom prst="rect">
          <a:avLst/>
        </a:prstGeom>
      </xdr:spPr>
    </xdr:pic>
    <xdr:clientData/>
  </xdr:twoCellAnchor>
  <xdr:twoCellAnchor editAs="oneCell">
    <xdr:from>
      <xdr:col>22</xdr:col>
      <xdr:colOff>26260</xdr:colOff>
      <xdr:row>33</xdr:row>
      <xdr:rowOff>170729</xdr:rowOff>
    </xdr:from>
    <xdr:to>
      <xdr:col>22</xdr:col>
      <xdr:colOff>205447</xdr:colOff>
      <xdr:row>37</xdr:row>
      <xdr:rowOff>101717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C25AA8A-1549-45FD-9D15-BD61A7A87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5104" y="6397922"/>
          <a:ext cx="179187" cy="685800"/>
        </a:xfrm>
        <a:prstGeom prst="rect">
          <a:avLst/>
        </a:prstGeom>
      </xdr:spPr>
    </xdr:pic>
    <xdr:clientData/>
  </xdr:twoCellAnchor>
  <xdr:twoCellAnchor>
    <xdr:from>
      <xdr:col>26</xdr:col>
      <xdr:colOff>70631</xdr:colOff>
      <xdr:row>33</xdr:row>
      <xdr:rowOff>143414</xdr:rowOff>
    </xdr:from>
    <xdr:to>
      <xdr:col>26</xdr:col>
      <xdr:colOff>79616</xdr:colOff>
      <xdr:row>37</xdr:row>
      <xdr:rowOff>62541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2AEC9DF-18FE-4401-98C4-075C53F86345}"/>
            </a:ext>
          </a:extLst>
        </xdr:cNvPr>
        <xdr:cNvCxnSpPr/>
      </xdr:nvCxnSpPr>
      <xdr:spPr>
        <a:xfrm flipV="1">
          <a:off x="18922942" y="6370607"/>
          <a:ext cx="8985" cy="673939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40</xdr:row>
      <xdr:rowOff>0</xdr:rowOff>
    </xdr:from>
    <xdr:to>
      <xdr:col>21</xdr:col>
      <xdr:colOff>459716</xdr:colOff>
      <xdr:row>46</xdr:row>
      <xdr:rowOff>26957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8617AE15-D732-4AE1-958F-8E0A7B816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17</xdr:col>
      <xdr:colOff>143774</xdr:colOff>
      <xdr:row>43</xdr:row>
      <xdr:rowOff>161745</xdr:rowOff>
    </xdr:from>
    <xdr:to>
      <xdr:col>21</xdr:col>
      <xdr:colOff>287548</xdr:colOff>
      <xdr:row>43</xdr:row>
      <xdr:rowOff>170730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969757D9-762D-40ED-AF88-8331C43F675C}"/>
            </a:ext>
          </a:extLst>
        </xdr:cNvPr>
        <xdr:cNvCxnSpPr/>
      </xdr:nvCxnSpPr>
      <xdr:spPr>
        <a:xfrm flipV="1">
          <a:off x="12265684" y="8275967"/>
          <a:ext cx="2884458" cy="8985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1652498</xdr:colOff>
      <xdr:row>40</xdr:row>
      <xdr:rowOff>17971</xdr:rowOff>
    </xdr:from>
    <xdr:to>
      <xdr:col>28</xdr:col>
      <xdr:colOff>728393</xdr:colOff>
      <xdr:row>46</xdr:row>
      <xdr:rowOff>26956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431D126A-AE6D-4930-8709-27F758792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21</xdr:col>
      <xdr:colOff>448394</xdr:colOff>
      <xdr:row>40</xdr:row>
      <xdr:rowOff>17971</xdr:rowOff>
    </xdr:from>
    <xdr:to>
      <xdr:col>23</xdr:col>
      <xdr:colOff>1647107</xdr:colOff>
      <xdr:row>46</xdr:row>
      <xdr:rowOff>26956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82989AAC-FC4F-446D-8EAE-FFA8ADB75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134789</xdr:colOff>
      <xdr:row>40</xdr:row>
      <xdr:rowOff>152757</xdr:rowOff>
    </xdr:from>
    <xdr:to>
      <xdr:col>21</xdr:col>
      <xdr:colOff>323491</xdr:colOff>
      <xdr:row>43</xdr:row>
      <xdr:rowOff>134787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1A557A38-E297-47B4-B36D-CACBEDCDE4AA}"/>
            </a:ext>
          </a:extLst>
        </xdr:cNvPr>
        <xdr:cNvSpPr/>
      </xdr:nvSpPr>
      <xdr:spPr>
        <a:xfrm>
          <a:off x="12256699" y="7700870"/>
          <a:ext cx="2929386" cy="548139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106931</xdr:colOff>
      <xdr:row>40</xdr:row>
      <xdr:rowOff>143415</xdr:rowOff>
    </xdr:from>
    <xdr:to>
      <xdr:col>28</xdr:col>
      <xdr:colOff>602052</xdr:colOff>
      <xdr:row>43</xdr:row>
      <xdr:rowOff>143773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2A3774E-0A65-45D8-9BB1-D5AEE9C0C2DF}"/>
            </a:ext>
          </a:extLst>
        </xdr:cNvPr>
        <xdr:cNvSpPr/>
      </xdr:nvSpPr>
      <xdr:spPr>
        <a:xfrm>
          <a:off x="17737167" y="7691528"/>
          <a:ext cx="2939272" cy="566467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125802</xdr:colOff>
      <xdr:row>43</xdr:row>
      <xdr:rowOff>170730</xdr:rowOff>
    </xdr:from>
    <xdr:to>
      <xdr:col>28</xdr:col>
      <xdr:colOff>584080</xdr:colOff>
      <xdr:row>43</xdr:row>
      <xdr:rowOff>170730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49374D4-E0A9-4FB1-88C1-6E3A00256ABA}"/>
            </a:ext>
          </a:extLst>
        </xdr:cNvPr>
        <xdr:cNvCxnSpPr/>
      </xdr:nvCxnSpPr>
      <xdr:spPr>
        <a:xfrm flipH="1">
          <a:off x="17756038" y="8284952"/>
          <a:ext cx="2902429" cy="0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1356862</xdr:colOff>
      <xdr:row>40</xdr:row>
      <xdr:rowOff>116816</xdr:rowOff>
    </xdr:from>
    <xdr:to>
      <xdr:col>23</xdr:col>
      <xdr:colOff>1657702</xdr:colOff>
      <xdr:row>44</xdr:row>
      <xdr:rowOff>47804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03A0886-7D69-9E3F-E28B-1E5D893D0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06744" y="7664929"/>
          <a:ext cx="300840" cy="685800"/>
        </a:xfrm>
        <a:prstGeom prst="rect">
          <a:avLst/>
        </a:prstGeom>
      </xdr:spPr>
    </xdr:pic>
    <xdr:clientData/>
  </xdr:twoCellAnchor>
  <xdr:twoCellAnchor editAs="oneCell">
    <xdr:from>
      <xdr:col>21</xdr:col>
      <xdr:colOff>437549</xdr:colOff>
      <xdr:row>40</xdr:row>
      <xdr:rowOff>141014</xdr:rowOff>
    </xdr:from>
    <xdr:to>
      <xdr:col>22</xdr:col>
      <xdr:colOff>262139</xdr:colOff>
      <xdr:row>44</xdr:row>
      <xdr:rowOff>72002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843B13C-CFC5-8580-B9A2-15E69752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00143" y="7689127"/>
          <a:ext cx="300840" cy="68580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46</xdr:row>
      <xdr:rowOff>0</xdr:rowOff>
    </xdr:from>
    <xdr:to>
      <xdr:col>21</xdr:col>
      <xdr:colOff>459716</xdr:colOff>
      <xdr:row>52</xdr:row>
      <xdr:rowOff>0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7AA13B3F-CB91-4430-AE59-21CFEA2D9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143774</xdr:colOff>
      <xdr:row>50</xdr:row>
      <xdr:rowOff>35944</xdr:rowOff>
    </xdr:from>
    <xdr:to>
      <xdr:col>21</xdr:col>
      <xdr:colOff>287548</xdr:colOff>
      <xdr:row>50</xdr:row>
      <xdr:rowOff>44929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3FA6C5F-3EE4-4518-A619-3F2D087F59E8}"/>
            </a:ext>
          </a:extLst>
        </xdr:cNvPr>
        <xdr:cNvCxnSpPr/>
      </xdr:nvCxnSpPr>
      <xdr:spPr>
        <a:xfrm flipV="1">
          <a:off x="12265684" y="9471086"/>
          <a:ext cx="2884458" cy="8985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1652498</xdr:colOff>
      <xdr:row>46</xdr:row>
      <xdr:rowOff>17971</xdr:rowOff>
    </xdr:from>
    <xdr:to>
      <xdr:col>28</xdr:col>
      <xdr:colOff>728393</xdr:colOff>
      <xdr:row>52</xdr:row>
      <xdr:rowOff>0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48F00024-7CEF-4107-A587-88DE156E4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21</xdr:col>
      <xdr:colOff>448394</xdr:colOff>
      <xdr:row>46</xdr:row>
      <xdr:rowOff>17971</xdr:rowOff>
    </xdr:from>
    <xdr:to>
      <xdr:col>23</xdr:col>
      <xdr:colOff>1647107</xdr:colOff>
      <xdr:row>52</xdr:row>
      <xdr:rowOff>0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3DC90811-90C0-49B4-8589-84716287E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17</xdr:col>
      <xdr:colOff>134789</xdr:colOff>
      <xdr:row>46</xdr:row>
      <xdr:rowOff>152757</xdr:rowOff>
    </xdr:from>
    <xdr:to>
      <xdr:col>21</xdr:col>
      <xdr:colOff>323491</xdr:colOff>
      <xdr:row>50</xdr:row>
      <xdr:rowOff>26957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6431582B-3374-450B-BC60-133CD458DB66}"/>
            </a:ext>
          </a:extLst>
        </xdr:cNvPr>
        <xdr:cNvSpPr/>
      </xdr:nvSpPr>
      <xdr:spPr>
        <a:xfrm>
          <a:off x="12256699" y="8833087"/>
          <a:ext cx="2929386" cy="629012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106931</xdr:colOff>
      <xdr:row>46</xdr:row>
      <xdr:rowOff>143413</xdr:rowOff>
    </xdr:from>
    <xdr:to>
      <xdr:col>28</xdr:col>
      <xdr:colOff>602052</xdr:colOff>
      <xdr:row>50</xdr:row>
      <xdr:rowOff>35942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5B5B0B8-690D-4FEC-AA04-C0945000A570}"/>
            </a:ext>
          </a:extLst>
        </xdr:cNvPr>
        <xdr:cNvSpPr/>
      </xdr:nvSpPr>
      <xdr:spPr>
        <a:xfrm>
          <a:off x="17737167" y="8823743"/>
          <a:ext cx="2939272" cy="647341"/>
        </a:xfrm>
        <a:prstGeom prst="rect">
          <a:avLst/>
        </a:prstGeom>
        <a:solidFill>
          <a:schemeClr val="bg1">
            <a:lumMod val="50000"/>
            <a:alpha val="1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125802</xdr:colOff>
      <xdr:row>50</xdr:row>
      <xdr:rowOff>44929</xdr:rowOff>
    </xdr:from>
    <xdr:to>
      <xdr:col>28</xdr:col>
      <xdr:colOff>584080</xdr:colOff>
      <xdr:row>50</xdr:row>
      <xdr:rowOff>44929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E6FCA0F2-F099-4E14-B1FC-D76A01907D99}"/>
            </a:ext>
          </a:extLst>
        </xdr:cNvPr>
        <xdr:cNvCxnSpPr/>
      </xdr:nvCxnSpPr>
      <xdr:spPr>
        <a:xfrm flipH="1">
          <a:off x="17756038" y="9480071"/>
          <a:ext cx="2902429" cy="0"/>
        </a:xfrm>
        <a:prstGeom prst="line">
          <a:avLst/>
        </a:prstGeom>
        <a:ln>
          <a:prstDash val="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1293962</xdr:colOff>
      <xdr:row>46</xdr:row>
      <xdr:rowOff>143774</xdr:rowOff>
    </xdr:from>
    <xdr:to>
      <xdr:col>23</xdr:col>
      <xdr:colOff>1660603</xdr:colOff>
      <xdr:row>50</xdr:row>
      <xdr:rowOff>74762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252B95B-436E-1312-656F-4708015C6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3844" y="8824104"/>
          <a:ext cx="366641" cy="685800"/>
        </a:xfrm>
        <a:prstGeom prst="rect">
          <a:avLst/>
        </a:prstGeom>
      </xdr:spPr>
    </xdr:pic>
    <xdr:clientData/>
  </xdr:twoCellAnchor>
  <xdr:twoCellAnchor editAs="oneCell">
    <xdr:from>
      <xdr:col>21</xdr:col>
      <xdr:colOff>437549</xdr:colOff>
      <xdr:row>46</xdr:row>
      <xdr:rowOff>123043</xdr:rowOff>
    </xdr:from>
    <xdr:to>
      <xdr:col>22</xdr:col>
      <xdr:colOff>328353</xdr:colOff>
      <xdr:row>50</xdr:row>
      <xdr:rowOff>54031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C177C5D-9062-3493-0523-2DD5979B3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00143" y="8803373"/>
          <a:ext cx="367054" cy="685800"/>
        </a:xfrm>
        <a:prstGeom prst="rect">
          <a:avLst/>
        </a:prstGeom>
      </xdr:spPr>
    </xdr:pic>
    <xdr:clientData/>
  </xdr:twoCellAnchor>
  <xdr:twoCellAnchor editAs="oneCell">
    <xdr:from>
      <xdr:col>24</xdr:col>
      <xdr:colOff>548136</xdr:colOff>
      <xdr:row>52</xdr:row>
      <xdr:rowOff>146886</xdr:rowOff>
    </xdr:from>
    <xdr:to>
      <xdr:col>26</xdr:col>
      <xdr:colOff>154249</xdr:colOff>
      <xdr:row>64</xdr:row>
      <xdr:rowOff>168452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2336A8B-01BA-059C-3A52-D262337F8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8372" y="9959433"/>
          <a:ext cx="828188" cy="2286000"/>
        </a:xfrm>
        <a:prstGeom prst="rect">
          <a:avLst/>
        </a:prstGeom>
      </xdr:spPr>
    </xdr:pic>
    <xdr:clientData/>
  </xdr:twoCellAnchor>
  <xdr:twoCellAnchor editAs="oneCell">
    <xdr:from>
      <xdr:col>19</xdr:col>
      <xdr:colOff>60142</xdr:colOff>
      <xdr:row>52</xdr:row>
      <xdr:rowOff>146886</xdr:rowOff>
    </xdr:from>
    <xdr:to>
      <xdr:col>20</xdr:col>
      <xdr:colOff>349179</xdr:colOff>
      <xdr:row>64</xdr:row>
      <xdr:rowOff>168452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73C05B6-E63B-B7E5-7617-0DD927EAD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6321" y="9959433"/>
          <a:ext cx="828188" cy="2286000"/>
        </a:xfrm>
        <a:prstGeom prst="rect">
          <a:avLst/>
        </a:prstGeom>
      </xdr:spPr>
    </xdr:pic>
    <xdr:clientData/>
  </xdr:twoCellAnchor>
  <xdr:twoCellAnchor>
    <xdr:from>
      <xdr:col>22</xdr:col>
      <xdr:colOff>233632</xdr:colOff>
      <xdr:row>56</xdr:row>
      <xdr:rowOff>171148</xdr:rowOff>
    </xdr:from>
    <xdr:to>
      <xdr:col>23</xdr:col>
      <xdr:colOff>1590495</xdr:colOff>
      <xdr:row>60</xdr:row>
      <xdr:rowOff>144190</xdr:rowOff>
    </xdr:to>
    <xdr:sp macro="" textlink="">
      <xdr:nvSpPr>
        <xdr:cNvPr id="108" name="Rectangle: Rounded Corners 107">
          <a:extLst>
            <a:ext uri="{FF2B5EF4-FFF2-40B4-BE49-F238E27FC236}">
              <a16:creationId xmlns:a16="http://schemas.microsoft.com/office/drawing/2014/main" id="{23999042-EB1F-2171-A548-FA459484761F}"/>
            </a:ext>
          </a:extLst>
        </xdr:cNvPr>
        <xdr:cNvSpPr/>
      </xdr:nvSpPr>
      <xdr:spPr>
        <a:xfrm>
          <a:off x="15572476" y="10738506"/>
          <a:ext cx="1967901" cy="727854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Knees behind</a:t>
          </a:r>
          <a:r>
            <a:rPr lang="en-US" sz="1800" b="1" baseline="0">
              <a:solidFill>
                <a:schemeClr val="tx1"/>
              </a:solidFill>
            </a:rPr>
            <a:t> toes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0</xdr:colOff>
      <xdr:row>52</xdr:row>
      <xdr:rowOff>188164</xdr:rowOff>
    </xdr:from>
    <xdr:to>
      <xdr:col>19</xdr:col>
      <xdr:colOff>26598</xdr:colOff>
      <xdr:row>56</xdr:row>
      <xdr:rowOff>161207</xdr:rowOff>
    </xdr:to>
    <xdr:sp macro="" textlink="">
      <xdr:nvSpPr>
        <xdr:cNvPr id="109" name="Rectangle: Rounded Corners 108">
          <a:extLst>
            <a:ext uri="{FF2B5EF4-FFF2-40B4-BE49-F238E27FC236}">
              <a16:creationId xmlns:a16="http://schemas.microsoft.com/office/drawing/2014/main" id="{5F40B8CC-E31D-4B00-A453-F23807C520E2}"/>
            </a:ext>
          </a:extLst>
        </xdr:cNvPr>
        <xdr:cNvSpPr/>
      </xdr:nvSpPr>
      <xdr:spPr>
        <a:xfrm>
          <a:off x="12121910" y="10000711"/>
          <a:ext cx="1760867" cy="727854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Hips behind heels</a:t>
          </a:r>
        </a:p>
      </xdr:txBody>
    </xdr:sp>
    <xdr:clientData/>
  </xdr:twoCellAnchor>
  <xdr:twoCellAnchor>
    <xdr:from>
      <xdr:col>26</xdr:col>
      <xdr:colOff>26237</xdr:colOff>
      <xdr:row>52</xdr:row>
      <xdr:rowOff>188164</xdr:rowOff>
    </xdr:from>
    <xdr:to>
      <xdr:col>28</xdr:col>
      <xdr:colOff>709883</xdr:colOff>
      <xdr:row>56</xdr:row>
      <xdr:rowOff>161207</xdr:rowOff>
    </xdr:to>
    <xdr:sp macro="" textlink="">
      <xdr:nvSpPr>
        <xdr:cNvPr id="110" name="Rectangle: Rounded Corners 109">
          <a:extLst>
            <a:ext uri="{FF2B5EF4-FFF2-40B4-BE49-F238E27FC236}">
              <a16:creationId xmlns:a16="http://schemas.microsoft.com/office/drawing/2014/main" id="{EFDD5B87-4638-435A-AC78-5DCC2E2070CB}"/>
            </a:ext>
          </a:extLst>
        </xdr:cNvPr>
        <xdr:cNvSpPr/>
      </xdr:nvSpPr>
      <xdr:spPr>
        <a:xfrm>
          <a:off x="18878548" y="10000711"/>
          <a:ext cx="1905722" cy="727854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Hips</a:t>
          </a:r>
          <a:r>
            <a:rPr lang="en-US" sz="1800" b="1" baseline="0">
              <a:solidFill>
                <a:schemeClr val="tx1"/>
              </a:solidFill>
            </a:rPr>
            <a:t> behind heels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49602</xdr:colOff>
      <xdr:row>62</xdr:row>
      <xdr:rowOff>9043</xdr:rowOff>
    </xdr:from>
    <xdr:to>
      <xdr:col>23</xdr:col>
      <xdr:colOff>1163487</xdr:colOff>
      <xdr:row>63</xdr:row>
      <xdr:rowOff>80873</xdr:rowOff>
    </xdr:to>
    <xdr:sp macro="" textlink="">
      <xdr:nvSpPr>
        <xdr:cNvPr id="111" name="Rectangle: Rounded Corners 110">
          <a:extLst>
            <a:ext uri="{FF2B5EF4-FFF2-40B4-BE49-F238E27FC236}">
              <a16:creationId xmlns:a16="http://schemas.microsoft.com/office/drawing/2014/main" id="{E798A82C-0CA8-4696-AE09-6383DF917695}"/>
            </a:ext>
          </a:extLst>
        </xdr:cNvPr>
        <xdr:cNvSpPr/>
      </xdr:nvSpPr>
      <xdr:spPr>
        <a:xfrm>
          <a:off x="15999484" y="11708618"/>
          <a:ext cx="1113885" cy="26053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Drop Jump</a:t>
          </a:r>
        </a:p>
      </xdr:txBody>
    </xdr:sp>
    <xdr:clientData/>
  </xdr:twoCellAnchor>
  <xdr:twoCellAnchor>
    <xdr:from>
      <xdr:col>17</xdr:col>
      <xdr:colOff>323491</xdr:colOff>
      <xdr:row>57</xdr:row>
      <xdr:rowOff>102854</xdr:rowOff>
    </xdr:from>
    <xdr:to>
      <xdr:col>18</xdr:col>
      <xdr:colOff>314144</xdr:colOff>
      <xdr:row>58</xdr:row>
      <xdr:rowOff>174684</xdr:rowOff>
    </xdr:to>
    <xdr:sp macro="" textlink="">
      <xdr:nvSpPr>
        <xdr:cNvPr id="112" name="Rectangle: Rounded Corners 111">
          <a:extLst>
            <a:ext uri="{FF2B5EF4-FFF2-40B4-BE49-F238E27FC236}">
              <a16:creationId xmlns:a16="http://schemas.microsoft.com/office/drawing/2014/main" id="{AE7455FD-A833-4C35-95A4-A3F4C5C53F3F}"/>
            </a:ext>
          </a:extLst>
        </xdr:cNvPr>
        <xdr:cNvSpPr/>
      </xdr:nvSpPr>
      <xdr:spPr>
        <a:xfrm>
          <a:off x="12445401" y="10858915"/>
          <a:ext cx="1113885" cy="26053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Drop Jump</a:t>
          </a:r>
        </a:p>
      </xdr:txBody>
    </xdr:sp>
    <xdr:clientData/>
  </xdr:twoCellAnchor>
  <xdr:twoCellAnchor>
    <xdr:from>
      <xdr:col>26</xdr:col>
      <xdr:colOff>422156</xdr:colOff>
      <xdr:row>57</xdr:row>
      <xdr:rowOff>102854</xdr:rowOff>
    </xdr:from>
    <xdr:to>
      <xdr:col>28</xdr:col>
      <xdr:colOff>313965</xdr:colOff>
      <xdr:row>58</xdr:row>
      <xdr:rowOff>174684</xdr:rowOff>
    </xdr:to>
    <xdr:sp macro="" textlink="">
      <xdr:nvSpPr>
        <xdr:cNvPr id="113" name="Rectangle: Rounded Corners 112">
          <a:extLst>
            <a:ext uri="{FF2B5EF4-FFF2-40B4-BE49-F238E27FC236}">
              <a16:creationId xmlns:a16="http://schemas.microsoft.com/office/drawing/2014/main" id="{2AEA9AF3-9862-4213-B2B3-2A9CEBF10BEA}"/>
            </a:ext>
          </a:extLst>
        </xdr:cNvPr>
        <xdr:cNvSpPr/>
      </xdr:nvSpPr>
      <xdr:spPr>
        <a:xfrm>
          <a:off x="19274467" y="10858915"/>
          <a:ext cx="1113885" cy="26053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Drop Jump</a:t>
          </a:r>
        </a:p>
      </xdr:txBody>
    </xdr:sp>
    <xdr:clientData/>
  </xdr:twoCellAnchor>
  <xdr:twoCellAnchor>
    <xdr:from>
      <xdr:col>17</xdr:col>
      <xdr:colOff>332118</xdr:colOff>
      <xdr:row>60</xdr:row>
      <xdr:rowOff>120467</xdr:rowOff>
    </xdr:from>
    <xdr:to>
      <xdr:col>18</xdr:col>
      <xdr:colOff>322771</xdr:colOff>
      <xdr:row>62</xdr:row>
      <xdr:rowOff>3595</xdr:rowOff>
    </xdr:to>
    <xdr:sp macro="" textlink="">
      <xdr:nvSpPr>
        <xdr:cNvPr id="114" name="Rectangle: Rounded Corners 113">
          <a:extLst>
            <a:ext uri="{FF2B5EF4-FFF2-40B4-BE49-F238E27FC236}">
              <a16:creationId xmlns:a16="http://schemas.microsoft.com/office/drawing/2014/main" id="{2B5F96C7-0A29-4702-8C11-C068D50D363C}"/>
            </a:ext>
          </a:extLst>
        </xdr:cNvPr>
        <xdr:cNvSpPr/>
      </xdr:nvSpPr>
      <xdr:spPr>
        <a:xfrm>
          <a:off x="12454028" y="11442637"/>
          <a:ext cx="1113885" cy="26053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Heel</a:t>
          </a:r>
          <a:r>
            <a:rPr lang="en-US" sz="1200" b="1" baseline="0">
              <a:solidFill>
                <a:schemeClr val="bg1"/>
              </a:solidFill>
            </a:rPr>
            <a:t> Touch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430783</xdr:colOff>
      <xdr:row>60</xdr:row>
      <xdr:rowOff>120467</xdr:rowOff>
    </xdr:from>
    <xdr:to>
      <xdr:col>28</xdr:col>
      <xdr:colOff>322592</xdr:colOff>
      <xdr:row>62</xdr:row>
      <xdr:rowOff>3595</xdr:rowOff>
    </xdr:to>
    <xdr:sp macro="" textlink="">
      <xdr:nvSpPr>
        <xdr:cNvPr id="115" name="Rectangle: Rounded Corners 114">
          <a:extLst>
            <a:ext uri="{FF2B5EF4-FFF2-40B4-BE49-F238E27FC236}">
              <a16:creationId xmlns:a16="http://schemas.microsoft.com/office/drawing/2014/main" id="{4F6E1104-A5C0-457F-A936-1D3EF6D9BDCD}"/>
            </a:ext>
          </a:extLst>
        </xdr:cNvPr>
        <xdr:cNvSpPr/>
      </xdr:nvSpPr>
      <xdr:spPr>
        <a:xfrm>
          <a:off x="19283094" y="11442637"/>
          <a:ext cx="1113885" cy="26053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Heel Touch</a:t>
          </a:r>
        </a:p>
      </xdr:txBody>
    </xdr:sp>
    <xdr:clientData/>
  </xdr:twoCellAnchor>
  <xdr:twoCellAnchor editAs="oneCell">
    <xdr:from>
      <xdr:col>20</xdr:col>
      <xdr:colOff>350448</xdr:colOff>
      <xdr:row>62</xdr:row>
      <xdr:rowOff>71347</xdr:rowOff>
    </xdr:from>
    <xdr:to>
      <xdr:col>21</xdr:col>
      <xdr:colOff>111784</xdr:colOff>
      <xdr:row>63</xdr:row>
      <xdr:rowOff>111244</xdr:rowOff>
    </xdr:to>
    <xdr:pic>
      <xdr:nvPicPr>
        <xdr:cNvPr id="117" name="Graphic 116" descr="Checkmark with solid fill">
          <a:extLst>
            <a:ext uri="{FF2B5EF4-FFF2-40B4-BE49-F238E27FC236}">
              <a16:creationId xmlns:a16="http://schemas.microsoft.com/office/drawing/2014/main" id="{86A864E6-67CA-D4A6-3FA8-8AB5F64C0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4745778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21</xdr:col>
      <xdr:colOff>183851</xdr:colOff>
      <xdr:row>62</xdr:row>
      <xdr:rowOff>71347</xdr:rowOff>
    </xdr:from>
    <xdr:to>
      <xdr:col>21</xdr:col>
      <xdr:colOff>412451</xdr:colOff>
      <xdr:row>63</xdr:row>
      <xdr:rowOff>111244</xdr:rowOff>
    </xdr:to>
    <xdr:pic>
      <xdr:nvPicPr>
        <xdr:cNvPr id="118" name="Graphic 117" descr="Checkmark with solid fill">
          <a:extLst>
            <a:ext uri="{FF2B5EF4-FFF2-40B4-BE49-F238E27FC236}">
              <a16:creationId xmlns:a16="http://schemas.microsoft.com/office/drawing/2014/main" id="{3CE2A063-A0E4-4927-A7D2-B2623DBCF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5046445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22</xdr:col>
      <xdr:colOff>8268</xdr:colOff>
      <xdr:row>62</xdr:row>
      <xdr:rowOff>71347</xdr:rowOff>
    </xdr:from>
    <xdr:to>
      <xdr:col>22</xdr:col>
      <xdr:colOff>236868</xdr:colOff>
      <xdr:row>63</xdr:row>
      <xdr:rowOff>111244</xdr:rowOff>
    </xdr:to>
    <xdr:pic>
      <xdr:nvPicPr>
        <xdr:cNvPr id="119" name="Graphic 118" descr="Checkmark with solid fill">
          <a:extLst>
            <a:ext uri="{FF2B5EF4-FFF2-40B4-BE49-F238E27FC236}">
              <a16:creationId xmlns:a16="http://schemas.microsoft.com/office/drawing/2014/main" id="{1015DB1F-5D1E-4784-9667-A4F8EFD6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5347112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23</xdr:col>
      <xdr:colOff>1419404</xdr:colOff>
      <xdr:row>62</xdr:row>
      <xdr:rowOff>71347</xdr:rowOff>
    </xdr:from>
    <xdr:to>
      <xdr:col>23</xdr:col>
      <xdr:colOff>1648004</xdr:colOff>
      <xdr:row>63</xdr:row>
      <xdr:rowOff>111244</xdr:rowOff>
    </xdr:to>
    <xdr:pic>
      <xdr:nvPicPr>
        <xdr:cNvPr id="120" name="Graphic 119" descr="Checkmark with solid fill">
          <a:extLst>
            <a:ext uri="{FF2B5EF4-FFF2-40B4-BE49-F238E27FC236}">
              <a16:creationId xmlns:a16="http://schemas.microsoft.com/office/drawing/2014/main" id="{0630C9C9-5576-4A2C-8578-A9B289300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7369286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24</xdr:col>
      <xdr:colOff>340384</xdr:colOff>
      <xdr:row>62</xdr:row>
      <xdr:rowOff>71347</xdr:rowOff>
    </xdr:from>
    <xdr:to>
      <xdr:col>24</xdr:col>
      <xdr:colOff>568984</xdr:colOff>
      <xdr:row>63</xdr:row>
      <xdr:rowOff>111244</xdr:rowOff>
    </xdr:to>
    <xdr:pic>
      <xdr:nvPicPr>
        <xdr:cNvPr id="122" name="Graphic 121" descr="Checkmark with solid fill">
          <a:extLst>
            <a:ext uri="{FF2B5EF4-FFF2-40B4-BE49-F238E27FC236}">
              <a16:creationId xmlns:a16="http://schemas.microsoft.com/office/drawing/2014/main" id="{5C319C0F-B60D-4F13-8438-9DA506543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7970620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24</xdr:col>
      <xdr:colOff>35944</xdr:colOff>
      <xdr:row>62</xdr:row>
      <xdr:rowOff>71347</xdr:rowOff>
    </xdr:from>
    <xdr:to>
      <xdr:col>24</xdr:col>
      <xdr:colOff>264544</xdr:colOff>
      <xdr:row>63</xdr:row>
      <xdr:rowOff>111244</xdr:rowOff>
    </xdr:to>
    <xdr:pic>
      <xdr:nvPicPr>
        <xdr:cNvPr id="124" name="Graphic 123" descr="Close with solid fill">
          <a:extLst>
            <a:ext uri="{FF2B5EF4-FFF2-40B4-BE49-F238E27FC236}">
              <a16:creationId xmlns:a16="http://schemas.microsoft.com/office/drawing/2014/main" id="{E076FA5A-8B18-310F-4629-9EF1CEA37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17666180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448934</xdr:colOff>
      <xdr:row>59</xdr:row>
      <xdr:rowOff>26239</xdr:rowOff>
    </xdr:from>
    <xdr:to>
      <xdr:col>17</xdr:col>
      <xdr:colOff>677534</xdr:colOff>
      <xdr:row>60</xdr:row>
      <xdr:rowOff>66136</xdr:rowOff>
    </xdr:to>
    <xdr:pic>
      <xdr:nvPicPr>
        <xdr:cNvPr id="125" name="Graphic 124" descr="Checkmark with solid fill">
          <a:extLst>
            <a:ext uri="{FF2B5EF4-FFF2-40B4-BE49-F238E27FC236}">
              <a16:creationId xmlns:a16="http://schemas.microsoft.com/office/drawing/2014/main" id="{544C35B7-4BCF-4EA2-9706-58482A28B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2570844" y="11159706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749601</xdr:colOff>
      <xdr:row>59</xdr:row>
      <xdr:rowOff>26239</xdr:rowOff>
    </xdr:from>
    <xdr:to>
      <xdr:col>17</xdr:col>
      <xdr:colOff>978201</xdr:colOff>
      <xdr:row>60</xdr:row>
      <xdr:rowOff>66136</xdr:rowOff>
    </xdr:to>
    <xdr:pic>
      <xdr:nvPicPr>
        <xdr:cNvPr id="126" name="Graphic 125" descr="Checkmark with solid fill">
          <a:extLst>
            <a:ext uri="{FF2B5EF4-FFF2-40B4-BE49-F238E27FC236}">
              <a16:creationId xmlns:a16="http://schemas.microsoft.com/office/drawing/2014/main" id="{BF108412-1422-4341-8F50-4A5A99960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2871511" y="11159706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1050268</xdr:colOff>
      <xdr:row>59</xdr:row>
      <xdr:rowOff>26239</xdr:rowOff>
    </xdr:from>
    <xdr:to>
      <xdr:col>18</xdr:col>
      <xdr:colOff>155636</xdr:colOff>
      <xdr:row>60</xdr:row>
      <xdr:rowOff>66136</xdr:rowOff>
    </xdr:to>
    <xdr:pic>
      <xdr:nvPicPr>
        <xdr:cNvPr id="127" name="Graphic 126" descr="Checkmark with solid fill">
          <a:extLst>
            <a:ext uri="{FF2B5EF4-FFF2-40B4-BE49-F238E27FC236}">
              <a16:creationId xmlns:a16="http://schemas.microsoft.com/office/drawing/2014/main" id="{7662F960-9215-47C2-A142-6DE6BAEA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3172178" y="11159706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26</xdr:col>
      <xdr:colOff>538432</xdr:colOff>
      <xdr:row>59</xdr:row>
      <xdr:rowOff>26239</xdr:rowOff>
    </xdr:from>
    <xdr:to>
      <xdr:col>27</xdr:col>
      <xdr:colOff>155994</xdr:colOff>
      <xdr:row>60</xdr:row>
      <xdr:rowOff>66136</xdr:rowOff>
    </xdr:to>
    <xdr:pic>
      <xdr:nvPicPr>
        <xdr:cNvPr id="131" name="Graphic 130" descr="Checkmark with solid fill">
          <a:extLst>
            <a:ext uri="{FF2B5EF4-FFF2-40B4-BE49-F238E27FC236}">
              <a16:creationId xmlns:a16="http://schemas.microsoft.com/office/drawing/2014/main" id="{7E50004D-FF8C-459F-9437-FF3BD68A9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9390743" y="11159706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27</xdr:col>
      <xdr:colOff>224288</xdr:colOff>
      <xdr:row>59</xdr:row>
      <xdr:rowOff>26239</xdr:rowOff>
    </xdr:from>
    <xdr:to>
      <xdr:col>27</xdr:col>
      <xdr:colOff>452888</xdr:colOff>
      <xdr:row>60</xdr:row>
      <xdr:rowOff>66136</xdr:rowOff>
    </xdr:to>
    <xdr:pic>
      <xdr:nvPicPr>
        <xdr:cNvPr id="133" name="Graphic 132" descr="Close with solid fill">
          <a:extLst>
            <a:ext uri="{FF2B5EF4-FFF2-40B4-BE49-F238E27FC236}">
              <a16:creationId xmlns:a16="http://schemas.microsoft.com/office/drawing/2014/main" id="{0D0C3A75-D6C8-4918-A3B6-7323F80F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19687637" y="11159706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27</xdr:col>
      <xdr:colOff>538433</xdr:colOff>
      <xdr:row>59</xdr:row>
      <xdr:rowOff>26239</xdr:rowOff>
    </xdr:from>
    <xdr:to>
      <xdr:col>28</xdr:col>
      <xdr:colOff>155995</xdr:colOff>
      <xdr:row>60</xdr:row>
      <xdr:rowOff>66136</xdr:rowOff>
    </xdr:to>
    <xdr:pic>
      <xdr:nvPicPr>
        <xdr:cNvPr id="134" name="Graphic 133" descr="Close with solid fill">
          <a:extLst>
            <a:ext uri="{FF2B5EF4-FFF2-40B4-BE49-F238E27FC236}">
              <a16:creationId xmlns:a16="http://schemas.microsoft.com/office/drawing/2014/main" id="{3809BAD7-D6BD-46AE-8132-298E5146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20001782" y="11159706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27</xdr:col>
      <xdr:colOff>241901</xdr:colOff>
      <xdr:row>62</xdr:row>
      <xdr:rowOff>71347</xdr:rowOff>
    </xdr:from>
    <xdr:to>
      <xdr:col>27</xdr:col>
      <xdr:colOff>470501</xdr:colOff>
      <xdr:row>63</xdr:row>
      <xdr:rowOff>111244</xdr:rowOff>
    </xdr:to>
    <xdr:pic>
      <xdr:nvPicPr>
        <xdr:cNvPr id="136" name="Graphic 135" descr="Close with solid fill">
          <a:extLst>
            <a:ext uri="{FF2B5EF4-FFF2-40B4-BE49-F238E27FC236}">
              <a16:creationId xmlns:a16="http://schemas.microsoft.com/office/drawing/2014/main" id="{69B4F56C-96A4-4C11-9FDC-FC0F1F6DD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19705250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27</xdr:col>
      <xdr:colOff>556046</xdr:colOff>
      <xdr:row>62</xdr:row>
      <xdr:rowOff>71347</xdr:rowOff>
    </xdr:from>
    <xdr:to>
      <xdr:col>28</xdr:col>
      <xdr:colOff>173608</xdr:colOff>
      <xdr:row>63</xdr:row>
      <xdr:rowOff>111244</xdr:rowOff>
    </xdr:to>
    <xdr:pic>
      <xdr:nvPicPr>
        <xdr:cNvPr id="137" name="Graphic 136" descr="Close with solid fill">
          <a:extLst>
            <a:ext uri="{FF2B5EF4-FFF2-40B4-BE49-F238E27FC236}">
              <a16:creationId xmlns:a16="http://schemas.microsoft.com/office/drawing/2014/main" id="{73567029-5955-449B-B47C-AFE301355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20019395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26</xdr:col>
      <xdr:colOff>529807</xdr:colOff>
      <xdr:row>62</xdr:row>
      <xdr:rowOff>71347</xdr:rowOff>
    </xdr:from>
    <xdr:to>
      <xdr:col>27</xdr:col>
      <xdr:colOff>147369</xdr:colOff>
      <xdr:row>63</xdr:row>
      <xdr:rowOff>111244</xdr:rowOff>
    </xdr:to>
    <xdr:pic>
      <xdr:nvPicPr>
        <xdr:cNvPr id="138" name="Graphic 137" descr="Close with solid fill">
          <a:extLst>
            <a:ext uri="{FF2B5EF4-FFF2-40B4-BE49-F238E27FC236}">
              <a16:creationId xmlns:a16="http://schemas.microsoft.com/office/drawing/2014/main" id="{CEC73C25-5739-4CEB-B81F-3497E997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19382118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475531</xdr:colOff>
      <xdr:row>62</xdr:row>
      <xdr:rowOff>71347</xdr:rowOff>
    </xdr:from>
    <xdr:to>
      <xdr:col>17</xdr:col>
      <xdr:colOff>704131</xdr:colOff>
      <xdr:row>63</xdr:row>
      <xdr:rowOff>111244</xdr:rowOff>
    </xdr:to>
    <xdr:pic>
      <xdr:nvPicPr>
        <xdr:cNvPr id="139" name="Graphic 138" descr="Checkmark with solid fill">
          <a:extLst>
            <a:ext uri="{FF2B5EF4-FFF2-40B4-BE49-F238E27FC236}">
              <a16:creationId xmlns:a16="http://schemas.microsoft.com/office/drawing/2014/main" id="{417D40C5-0F68-4070-83B2-68A52392A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2597441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1076865</xdr:colOff>
      <xdr:row>62</xdr:row>
      <xdr:rowOff>71347</xdr:rowOff>
    </xdr:from>
    <xdr:to>
      <xdr:col>18</xdr:col>
      <xdr:colOff>182233</xdr:colOff>
      <xdr:row>63</xdr:row>
      <xdr:rowOff>111244</xdr:rowOff>
    </xdr:to>
    <xdr:pic>
      <xdr:nvPicPr>
        <xdr:cNvPr id="140" name="Graphic 139" descr="Checkmark with solid fill">
          <a:extLst>
            <a:ext uri="{FF2B5EF4-FFF2-40B4-BE49-F238E27FC236}">
              <a16:creationId xmlns:a16="http://schemas.microsoft.com/office/drawing/2014/main" id="{683F2B36-CEFD-42AC-BF11-94257D90B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3198775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772425</xdr:colOff>
      <xdr:row>62</xdr:row>
      <xdr:rowOff>71347</xdr:rowOff>
    </xdr:from>
    <xdr:to>
      <xdr:col>17</xdr:col>
      <xdr:colOff>1001025</xdr:colOff>
      <xdr:row>63</xdr:row>
      <xdr:rowOff>111244</xdr:rowOff>
    </xdr:to>
    <xdr:pic>
      <xdr:nvPicPr>
        <xdr:cNvPr id="141" name="Graphic 140" descr="Close with solid fill">
          <a:extLst>
            <a:ext uri="{FF2B5EF4-FFF2-40B4-BE49-F238E27FC236}">
              <a16:creationId xmlns:a16="http://schemas.microsoft.com/office/drawing/2014/main" id="{B2FEC271-6A77-4872-93AB-147F8505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12894335" y="11770922"/>
          <a:ext cx="228600" cy="228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pr-fs-app01\collab\Mal_Share\ViconDatabase\Copy%20of%20New%20scoring%20template.xlsx" TargetMode="External"/><Relationship Id="rId1" Type="http://schemas.openxmlformats.org/officeDocument/2006/relationships/externalLinkPath" Target="/Mal_Share/ViconDatabase/Copy%20of%20New%20scoring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arly Rehab"/>
      <sheetName val="Test plots"/>
      <sheetName val="Paste Data Early"/>
      <sheetName val="Early Rehab Shock Symmetry"/>
      <sheetName val="Late Rehab"/>
      <sheetName val="Past Data Late"/>
      <sheetName val="Late Rehab Comparisons"/>
    </sheetNames>
    <sheetDataSet>
      <sheetData sheetId="0" refreshError="1"/>
      <sheetData sheetId="1">
        <row r="1">
          <cell r="E1" t="str">
            <v>L1</v>
          </cell>
          <cell r="F1" t="str">
            <v>L2</v>
          </cell>
          <cell r="G1" t="str">
            <v>L3</v>
          </cell>
          <cell r="J1" t="str">
            <v>R1</v>
          </cell>
          <cell r="K1" t="str">
            <v>R2</v>
          </cell>
          <cell r="L1" t="str">
            <v>R3</v>
          </cell>
        </row>
        <row r="2">
          <cell r="D2" t="str">
            <v>Lateral Trunk Lean</v>
          </cell>
          <cell r="E2">
            <v>9.33</v>
          </cell>
          <cell r="F2">
            <v>0.2</v>
          </cell>
          <cell r="G2">
            <v>2.16</v>
          </cell>
          <cell r="I2" t="str">
            <v>Lateral Trunk Lean</v>
          </cell>
          <cell r="J2">
            <v>4.79</v>
          </cell>
          <cell r="K2">
            <v>5.98</v>
          </cell>
          <cell r="L2">
            <v>0.2</v>
          </cell>
        </row>
        <row r="3">
          <cell r="E3" t="str">
            <v>L1</v>
          </cell>
          <cell r="F3" t="str">
            <v>L2</v>
          </cell>
          <cell r="G3" t="str">
            <v>L3</v>
          </cell>
          <cell r="J3" t="str">
            <v>R1</v>
          </cell>
          <cell r="K3" t="str">
            <v>R2</v>
          </cell>
          <cell r="L3" t="str">
            <v>R3</v>
          </cell>
        </row>
        <row r="4">
          <cell r="D4" t="str">
            <v>Pelvic Obliquity</v>
          </cell>
          <cell r="E4">
            <v>4.93</v>
          </cell>
          <cell r="F4">
            <v>3.57</v>
          </cell>
          <cell r="G4">
            <v>3.91</v>
          </cell>
          <cell r="I4" t="str">
            <v>Pelvic Obliquity</v>
          </cell>
          <cell r="J4">
            <v>1.42</v>
          </cell>
          <cell r="K4">
            <v>1.61</v>
          </cell>
          <cell r="L4">
            <v>4.79</v>
          </cell>
        </row>
        <row r="5">
          <cell r="E5" t="str">
            <v>L1</v>
          </cell>
          <cell r="F5" t="str">
            <v>L2</v>
          </cell>
          <cell r="G5" t="str">
            <v>L3</v>
          </cell>
          <cell r="J5" t="str">
            <v>R1</v>
          </cell>
          <cell r="K5" t="str">
            <v>R2</v>
          </cell>
          <cell r="L5" t="str">
            <v>R3</v>
          </cell>
        </row>
        <row r="6">
          <cell r="D6" t="str">
            <v>HET</v>
          </cell>
          <cell r="E6">
            <v>12.03</v>
          </cell>
          <cell r="F6">
            <v>11.69</v>
          </cell>
          <cell r="G6">
            <v>11.64</v>
          </cell>
          <cell r="I6" t="str">
            <v>HET</v>
          </cell>
          <cell r="J6">
            <v>8.8699999999999992</v>
          </cell>
          <cell r="K6">
            <v>12.35</v>
          </cell>
          <cell r="L6">
            <v>15.39</v>
          </cell>
        </row>
        <row r="7">
          <cell r="D7" t="str">
            <v>DVJ</v>
          </cell>
          <cell r="E7">
            <v>-10.63</v>
          </cell>
          <cell r="F7">
            <v>-7.2</v>
          </cell>
          <cell r="G7">
            <v>-11.3</v>
          </cell>
          <cell r="I7" t="str">
            <v>DVJ</v>
          </cell>
          <cell r="J7">
            <v>-5.7</v>
          </cell>
          <cell r="K7">
            <v>-8.98</v>
          </cell>
          <cell r="L7">
            <v>-3.78</v>
          </cell>
        </row>
        <row r="8">
          <cell r="E8" t="str">
            <v>L1</v>
          </cell>
          <cell r="F8" t="str">
            <v>L2</v>
          </cell>
          <cell r="G8" t="str">
            <v>L3</v>
          </cell>
          <cell r="J8" t="str">
            <v>R1</v>
          </cell>
          <cell r="K8" t="str">
            <v>R2</v>
          </cell>
          <cell r="L8" t="str">
            <v>R3</v>
          </cell>
        </row>
        <row r="9">
          <cell r="D9" t="str">
            <v>HET</v>
          </cell>
          <cell r="E9">
            <v>0.92</v>
          </cell>
          <cell r="F9">
            <v>0.55000000000000004</v>
          </cell>
          <cell r="G9">
            <v>0.02</v>
          </cell>
          <cell r="I9" t="str">
            <v>HET</v>
          </cell>
          <cell r="J9">
            <v>-3.01</v>
          </cell>
          <cell r="K9">
            <v>-1.53</v>
          </cell>
          <cell r="L9">
            <v>-1.54</v>
          </cell>
        </row>
        <row r="10">
          <cell r="D10" t="str">
            <v>DVJ</v>
          </cell>
          <cell r="E10">
            <v>1.87</v>
          </cell>
          <cell r="F10">
            <v>0.92</v>
          </cell>
          <cell r="G10">
            <v>1</v>
          </cell>
          <cell r="I10" t="str">
            <v>DVJ</v>
          </cell>
          <cell r="J10">
            <v>-0.34</v>
          </cell>
          <cell r="K10">
            <v>-0.09</v>
          </cell>
          <cell r="L10">
            <v>-0.94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41A5-5221-4712-812B-0C9CC3F63D11}">
  <dimension ref="A1:G35"/>
  <sheetViews>
    <sheetView tabSelected="1" workbookViewId="0">
      <selection activeCell="J23" sqref="J23"/>
    </sheetView>
  </sheetViews>
  <sheetFormatPr defaultRowHeight="15" x14ac:dyDescent="0.25"/>
  <cols>
    <col min="1" max="1" width="20.140625" customWidth="1"/>
    <col min="2" max="2" width="17.140625" customWidth="1"/>
    <col min="3" max="3" width="28.5703125" customWidth="1"/>
    <col min="4" max="4" width="19.85546875" customWidth="1"/>
    <col min="5" max="5" width="38.5703125" style="9" customWidth="1"/>
    <col min="6" max="6" width="24.42578125" customWidth="1"/>
  </cols>
  <sheetData>
    <row r="1" spans="1:7" x14ac:dyDescent="0.25">
      <c r="C1" s="3" t="s">
        <v>2</v>
      </c>
      <c r="D1" s="3" t="s">
        <v>3</v>
      </c>
      <c r="E1" s="7" t="s">
        <v>41</v>
      </c>
      <c r="F1" s="3" t="s">
        <v>4</v>
      </c>
      <c r="G1" s="3" t="s">
        <v>44</v>
      </c>
    </row>
    <row r="2" spans="1:7" x14ac:dyDescent="0.25">
      <c r="A2" s="2" t="s">
        <v>0</v>
      </c>
      <c r="B2" s="1" t="s">
        <v>1</v>
      </c>
      <c r="C2" s="5" t="s">
        <v>8</v>
      </c>
      <c r="D2" s="4" t="s">
        <v>5</v>
      </c>
      <c r="E2" s="8"/>
      <c r="F2" s="4" t="s">
        <v>13</v>
      </c>
    </row>
    <row r="3" spans="1:7" x14ac:dyDescent="0.25">
      <c r="B3" s="1"/>
      <c r="C3" s="6" t="s">
        <v>9</v>
      </c>
      <c r="D3" s="4" t="s">
        <v>6</v>
      </c>
      <c r="E3" s="36" t="s">
        <v>50</v>
      </c>
      <c r="F3" s="4" t="s">
        <v>12</v>
      </c>
    </row>
    <row r="4" spans="1:7" x14ac:dyDescent="0.25">
      <c r="B4" s="1"/>
      <c r="C4" s="6" t="s">
        <v>7</v>
      </c>
      <c r="D4" s="4" t="s">
        <v>5</v>
      </c>
      <c r="E4" s="37" t="s">
        <v>42</v>
      </c>
      <c r="F4" s="4" t="s">
        <v>86</v>
      </c>
    </row>
    <row r="5" spans="1:7" x14ac:dyDescent="0.25">
      <c r="B5" s="1"/>
      <c r="C5" s="5" t="s">
        <v>10</v>
      </c>
      <c r="D5" s="4" t="s">
        <v>6</v>
      </c>
      <c r="E5" s="8"/>
      <c r="F5" s="4" t="s">
        <v>11</v>
      </c>
    </row>
    <row r="6" spans="1:7" x14ac:dyDescent="0.25">
      <c r="B6" s="1" t="s">
        <v>14</v>
      </c>
      <c r="C6" s="6" t="s">
        <v>15</v>
      </c>
      <c r="D6" s="4" t="s">
        <v>6</v>
      </c>
      <c r="E6" s="36" t="s">
        <v>51</v>
      </c>
      <c r="F6" s="4" t="s">
        <v>23</v>
      </c>
    </row>
    <row r="7" spans="1:7" x14ac:dyDescent="0.25">
      <c r="B7" s="1"/>
      <c r="C7" s="6" t="s">
        <v>16</v>
      </c>
      <c r="D7" s="4" t="s">
        <v>6</v>
      </c>
      <c r="E7" s="36" t="s">
        <v>52</v>
      </c>
      <c r="F7" s="4" t="s">
        <v>24</v>
      </c>
    </row>
    <row r="8" spans="1:7" x14ac:dyDescent="0.25">
      <c r="B8" s="1"/>
      <c r="C8" s="5" t="s">
        <v>17</v>
      </c>
      <c r="D8" s="4" t="s">
        <v>6</v>
      </c>
      <c r="E8" s="8"/>
      <c r="F8" s="4" t="s">
        <v>25</v>
      </c>
    </row>
    <row r="9" spans="1:7" x14ac:dyDescent="0.25">
      <c r="B9" s="1" t="s">
        <v>18</v>
      </c>
      <c r="C9" s="6" t="s">
        <v>19</v>
      </c>
      <c r="D9" s="4" t="s">
        <v>26</v>
      </c>
      <c r="E9" s="40" t="s">
        <v>43</v>
      </c>
      <c r="F9" s="4"/>
      <c r="G9" s="4" t="s">
        <v>45</v>
      </c>
    </row>
    <row r="10" spans="1:7" x14ac:dyDescent="0.25">
      <c r="C10" s="6" t="s">
        <v>20</v>
      </c>
      <c r="D10" s="4" t="s">
        <v>26</v>
      </c>
      <c r="E10" s="40" t="s">
        <v>53</v>
      </c>
      <c r="F10" s="4"/>
    </row>
    <row r="11" spans="1:7" x14ac:dyDescent="0.25">
      <c r="C11" s="6" t="s">
        <v>21</v>
      </c>
      <c r="D11" s="4" t="s">
        <v>6</v>
      </c>
      <c r="E11" s="36" t="s">
        <v>55</v>
      </c>
      <c r="F11" s="4" t="s">
        <v>27</v>
      </c>
    </row>
    <row r="12" spans="1:7" ht="30" x14ac:dyDescent="0.25">
      <c r="C12" s="5" t="s">
        <v>22</v>
      </c>
      <c r="D12" s="4" t="s">
        <v>30</v>
      </c>
      <c r="E12" s="8" t="s">
        <v>47</v>
      </c>
      <c r="F12" s="4" t="s">
        <v>29</v>
      </c>
      <c r="G12" t="s">
        <v>28</v>
      </c>
    </row>
    <row r="13" spans="1:7" x14ac:dyDescent="0.25">
      <c r="C13" s="4"/>
      <c r="D13" s="4"/>
      <c r="E13" s="8"/>
      <c r="F13" s="4"/>
    </row>
    <row r="14" spans="1:7" x14ac:dyDescent="0.25">
      <c r="A14" s="2" t="s">
        <v>31</v>
      </c>
      <c r="B14" s="1" t="s">
        <v>1</v>
      </c>
      <c r="C14" s="5" t="s">
        <v>8</v>
      </c>
      <c r="D14" s="4" t="s">
        <v>26</v>
      </c>
      <c r="E14" s="8"/>
      <c r="F14" s="4" t="s">
        <v>37</v>
      </c>
    </row>
    <row r="15" spans="1:7" x14ac:dyDescent="0.25">
      <c r="B15" s="1"/>
      <c r="C15" s="6" t="s">
        <v>9</v>
      </c>
      <c r="D15" s="4" t="s">
        <v>26</v>
      </c>
      <c r="E15" s="38" t="s">
        <v>54</v>
      </c>
      <c r="F15" s="4" t="s">
        <v>37</v>
      </c>
    </row>
    <row r="16" spans="1:7" x14ac:dyDescent="0.25">
      <c r="B16" s="1"/>
      <c r="C16" s="6" t="s">
        <v>7</v>
      </c>
      <c r="D16" s="4" t="s">
        <v>26</v>
      </c>
      <c r="E16" s="8" t="s">
        <v>49</v>
      </c>
      <c r="F16" s="4" t="s">
        <v>38</v>
      </c>
    </row>
    <row r="17" spans="2:6" x14ac:dyDescent="0.25">
      <c r="B17" s="1" t="s">
        <v>32</v>
      </c>
      <c r="C17" s="6" t="s">
        <v>33</v>
      </c>
      <c r="D17" s="4" t="s">
        <v>26</v>
      </c>
      <c r="E17" s="38" t="s">
        <v>46</v>
      </c>
      <c r="F17" s="4" t="s">
        <v>39</v>
      </c>
    </row>
    <row r="18" spans="2:6" ht="45" x14ac:dyDescent="0.25">
      <c r="B18" s="1" t="s">
        <v>34</v>
      </c>
      <c r="C18" s="6" t="s">
        <v>35</v>
      </c>
      <c r="D18" s="4" t="s">
        <v>26</v>
      </c>
      <c r="E18" s="38" t="s">
        <v>48</v>
      </c>
      <c r="F18" s="4" t="s">
        <v>40</v>
      </c>
    </row>
    <row r="19" spans="2:6" x14ac:dyDescent="0.25">
      <c r="B19" s="1" t="s">
        <v>18</v>
      </c>
      <c r="C19" s="6" t="s">
        <v>19</v>
      </c>
      <c r="D19" s="4" t="s">
        <v>26</v>
      </c>
      <c r="E19" s="39" t="s">
        <v>43</v>
      </c>
      <c r="F19" s="4"/>
    </row>
    <row r="20" spans="2:6" x14ac:dyDescent="0.25">
      <c r="C20" s="6" t="s">
        <v>36</v>
      </c>
      <c r="D20" s="4" t="s">
        <v>26</v>
      </c>
      <c r="E20" s="38" t="s">
        <v>55</v>
      </c>
      <c r="F20" s="4" t="s">
        <v>27</v>
      </c>
    </row>
    <row r="23" spans="2:6" x14ac:dyDescent="0.25">
      <c r="B23" t="s">
        <v>60</v>
      </c>
      <c r="C23" s="10" t="s">
        <v>35</v>
      </c>
      <c r="D23" s="10" t="s">
        <v>58</v>
      </c>
    </row>
    <row r="24" spans="2:6" x14ac:dyDescent="0.25">
      <c r="B24" t="s">
        <v>56</v>
      </c>
      <c r="C24" t="s">
        <v>9</v>
      </c>
      <c r="D24" t="s">
        <v>57</v>
      </c>
    </row>
    <row r="25" spans="2:6" x14ac:dyDescent="0.25">
      <c r="C25" t="s">
        <v>9</v>
      </c>
      <c r="D25" t="s">
        <v>58</v>
      </c>
    </row>
    <row r="26" spans="2:6" x14ac:dyDescent="0.25">
      <c r="C26" t="s">
        <v>7</v>
      </c>
      <c r="D26" t="s">
        <v>57</v>
      </c>
    </row>
    <row r="27" spans="2:6" x14ac:dyDescent="0.25">
      <c r="C27" t="s">
        <v>7</v>
      </c>
      <c r="D27" t="s">
        <v>58</v>
      </c>
    </row>
    <row r="28" spans="2:6" x14ac:dyDescent="0.25">
      <c r="B28" t="s">
        <v>59</v>
      </c>
      <c r="C28" t="s">
        <v>33</v>
      </c>
      <c r="D28" t="s">
        <v>58</v>
      </c>
    </row>
    <row r="29" spans="2:6" x14ac:dyDescent="0.25">
      <c r="B29" t="s">
        <v>61</v>
      </c>
      <c r="C29" t="s">
        <v>36</v>
      </c>
      <c r="D29" t="s">
        <v>57</v>
      </c>
    </row>
    <row r="30" spans="2:6" x14ac:dyDescent="0.25">
      <c r="C30" t="s">
        <v>36</v>
      </c>
      <c r="D30" t="s">
        <v>58</v>
      </c>
    </row>
    <row r="31" spans="2:6" x14ac:dyDescent="0.25">
      <c r="C31" t="s">
        <v>19</v>
      </c>
      <c r="D31" t="s">
        <v>57</v>
      </c>
    </row>
    <row r="32" spans="2:6" x14ac:dyDescent="0.25">
      <c r="C32" t="s">
        <v>19</v>
      </c>
      <c r="D32" t="s">
        <v>58</v>
      </c>
    </row>
    <row r="33" spans="2:4" x14ac:dyDescent="0.25">
      <c r="C33" t="s">
        <v>20</v>
      </c>
      <c r="D33" t="s">
        <v>57</v>
      </c>
    </row>
    <row r="34" spans="2:4" x14ac:dyDescent="0.25">
      <c r="B34" t="s">
        <v>14</v>
      </c>
      <c r="C34" t="s">
        <v>16</v>
      </c>
      <c r="D34" t="s">
        <v>57</v>
      </c>
    </row>
    <row r="35" spans="2:4" x14ac:dyDescent="0.25">
      <c r="C35" t="s">
        <v>15</v>
      </c>
      <c r="D35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A10F-CC8A-4DD4-A588-05344795CB9B}">
  <dimension ref="A1:K19"/>
  <sheetViews>
    <sheetView workbookViewId="0">
      <selection activeCell="G1" sqref="G1:I12"/>
    </sheetView>
  </sheetViews>
  <sheetFormatPr defaultRowHeight="15" x14ac:dyDescent="0.25"/>
  <cols>
    <col min="1" max="1" width="19.7109375" bestFit="1" customWidth="1"/>
    <col min="2" max="2" width="31.28515625" customWidth="1"/>
    <col min="3" max="3" width="9.140625" customWidth="1"/>
    <col min="7" max="7" width="19.7109375" bestFit="1" customWidth="1"/>
    <col min="8" max="8" width="30" customWidth="1"/>
  </cols>
  <sheetData>
    <row r="1" spans="1:11" x14ac:dyDescent="0.25">
      <c r="A1" t="s">
        <v>60</v>
      </c>
      <c r="B1" t="s">
        <v>35</v>
      </c>
      <c r="C1" t="s">
        <v>58</v>
      </c>
      <c r="D1" t="s">
        <v>63</v>
      </c>
      <c r="G1" t="s">
        <v>62</v>
      </c>
      <c r="H1" t="s">
        <v>35</v>
      </c>
      <c r="I1" t="s">
        <v>58</v>
      </c>
      <c r="J1" s="10"/>
      <c r="K1" s="10"/>
    </row>
    <row r="2" spans="1:11" x14ac:dyDescent="0.25">
      <c r="A2" t="s">
        <v>59</v>
      </c>
      <c r="B2" t="s">
        <v>33</v>
      </c>
      <c r="C2" t="s">
        <v>58</v>
      </c>
      <c r="D2" t="s">
        <v>63</v>
      </c>
      <c r="H2" t="s">
        <v>33</v>
      </c>
      <c r="I2" t="s">
        <v>58</v>
      </c>
    </row>
    <row r="3" spans="1:11" x14ac:dyDescent="0.25">
      <c r="A3" t="s">
        <v>56</v>
      </c>
      <c r="B3" t="s">
        <v>9</v>
      </c>
      <c r="C3" t="s">
        <v>58</v>
      </c>
      <c r="D3" t="s">
        <v>63</v>
      </c>
      <c r="H3" t="s">
        <v>9</v>
      </c>
      <c r="I3" t="s">
        <v>58</v>
      </c>
    </row>
    <row r="4" spans="1:11" x14ac:dyDescent="0.25">
      <c r="B4" t="s">
        <v>9</v>
      </c>
      <c r="C4" t="s">
        <v>57</v>
      </c>
      <c r="D4" t="s">
        <v>63</v>
      </c>
      <c r="I4" t="s">
        <v>57</v>
      </c>
    </row>
    <row r="5" spans="1:11" x14ac:dyDescent="0.25">
      <c r="B5" t="s">
        <v>7</v>
      </c>
      <c r="C5" t="s">
        <v>58</v>
      </c>
      <c r="D5" t="s">
        <v>63</v>
      </c>
      <c r="H5" t="s">
        <v>7</v>
      </c>
      <c r="I5" t="s">
        <v>58</v>
      </c>
    </row>
    <row r="6" spans="1:11" x14ac:dyDescent="0.25">
      <c r="B6" t="s">
        <v>7</v>
      </c>
      <c r="C6" t="s">
        <v>57</v>
      </c>
      <c r="D6" t="s">
        <v>63</v>
      </c>
      <c r="I6" t="s">
        <v>57</v>
      </c>
    </row>
    <row r="8" spans="1:11" x14ac:dyDescent="0.25">
      <c r="A8" t="s">
        <v>61</v>
      </c>
      <c r="B8" t="s">
        <v>36</v>
      </c>
      <c r="C8" t="s">
        <v>57</v>
      </c>
      <c r="D8" t="s">
        <v>64</v>
      </c>
    </row>
    <row r="9" spans="1:11" x14ac:dyDescent="0.25">
      <c r="B9" t="s">
        <v>36</v>
      </c>
      <c r="C9" t="s">
        <v>58</v>
      </c>
      <c r="D9" t="s">
        <v>64</v>
      </c>
      <c r="G9" t="s">
        <v>65</v>
      </c>
      <c r="H9" t="s">
        <v>36</v>
      </c>
      <c r="I9" t="s">
        <v>57</v>
      </c>
    </row>
    <row r="10" spans="1:11" x14ac:dyDescent="0.25">
      <c r="B10" t="s">
        <v>19</v>
      </c>
      <c r="C10" t="s">
        <v>57</v>
      </c>
      <c r="D10" t="s">
        <v>64</v>
      </c>
      <c r="I10" t="s">
        <v>58</v>
      </c>
    </row>
    <row r="11" spans="1:11" x14ac:dyDescent="0.25">
      <c r="B11" t="s">
        <v>19</v>
      </c>
      <c r="C11" t="s">
        <v>58</v>
      </c>
      <c r="D11" t="s">
        <v>64</v>
      </c>
      <c r="H11" t="s">
        <v>16</v>
      </c>
      <c r="I11" t="s">
        <v>57</v>
      </c>
    </row>
    <row r="12" spans="1:11" x14ac:dyDescent="0.25">
      <c r="B12" t="s">
        <v>20</v>
      </c>
      <c r="C12" t="s">
        <v>57</v>
      </c>
      <c r="D12" t="s">
        <v>64</v>
      </c>
      <c r="H12" t="s">
        <v>15</v>
      </c>
      <c r="I12" t="s">
        <v>57</v>
      </c>
    </row>
    <row r="14" spans="1:11" x14ac:dyDescent="0.25">
      <c r="A14" t="s">
        <v>14</v>
      </c>
      <c r="B14" t="s">
        <v>16</v>
      </c>
      <c r="C14" t="s">
        <v>57</v>
      </c>
      <c r="D14" t="s">
        <v>64</v>
      </c>
    </row>
    <row r="15" spans="1:11" x14ac:dyDescent="0.25">
      <c r="B15" t="s">
        <v>15</v>
      </c>
      <c r="C15" t="s">
        <v>57</v>
      </c>
      <c r="D15" t="s">
        <v>64</v>
      </c>
    </row>
    <row r="17" spans="8:9" x14ac:dyDescent="0.25">
      <c r="H17" t="s">
        <v>19</v>
      </c>
      <c r="I17" t="s">
        <v>57</v>
      </c>
    </row>
    <row r="18" spans="8:9" x14ac:dyDescent="0.25">
      <c r="I18" t="s">
        <v>58</v>
      </c>
    </row>
    <row r="19" spans="8:9" x14ac:dyDescent="0.25">
      <c r="H19" t="s">
        <v>20</v>
      </c>
      <c r="I1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5F32-C786-49FF-B170-54AF72056283}">
  <dimension ref="A1:AO79"/>
  <sheetViews>
    <sheetView topLeftCell="A27" zoomScale="106" zoomScaleNormal="106" workbookViewId="0">
      <selection activeCell="M24" sqref="M24"/>
    </sheetView>
  </sheetViews>
  <sheetFormatPr defaultRowHeight="15" x14ac:dyDescent="0.25"/>
  <cols>
    <col min="1" max="1" width="17.28515625" bestFit="1" customWidth="1"/>
    <col min="2" max="2" width="10.7109375" bestFit="1" customWidth="1"/>
    <col min="3" max="3" width="19.7109375" bestFit="1" customWidth="1"/>
    <col min="9" max="9" width="17.28515625" bestFit="1" customWidth="1"/>
    <col min="13" max="13" width="9.140625" style="13"/>
  </cols>
  <sheetData>
    <row r="1" spans="1:34" x14ac:dyDescent="0.25">
      <c r="E1" t="s">
        <v>66</v>
      </c>
      <c r="F1" t="s">
        <v>67</v>
      </c>
      <c r="G1" t="s">
        <v>68</v>
      </c>
      <c r="H1" t="s">
        <v>87</v>
      </c>
      <c r="J1" t="s">
        <v>69</v>
      </c>
      <c r="K1" t="s">
        <v>70</v>
      </c>
      <c r="L1" t="s">
        <v>71</v>
      </c>
      <c r="M1" s="13" t="s">
        <v>87</v>
      </c>
      <c r="Q1" t="s">
        <v>96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AE1" t="s">
        <v>95</v>
      </c>
      <c r="AF1" t="s">
        <v>90</v>
      </c>
    </row>
    <row r="2" spans="1:34" x14ac:dyDescent="0.25">
      <c r="A2" t="s">
        <v>72</v>
      </c>
      <c r="B2" t="s">
        <v>31</v>
      </c>
      <c r="C2" t="s">
        <v>73</v>
      </c>
      <c r="D2" t="str">
        <f>A2</f>
        <v>Lateral Trunk Lean</v>
      </c>
      <c r="E2">
        <v>9.33</v>
      </c>
      <c r="F2">
        <v>0.2</v>
      </c>
      <c r="G2">
        <v>2.16</v>
      </c>
      <c r="H2">
        <f>AVERAGE(E2:G2)</f>
        <v>3.8966666666666665</v>
      </c>
      <c r="I2" t="str">
        <f>A2</f>
        <v>Lateral Trunk Lean</v>
      </c>
      <c r="J2">
        <v>4.79</v>
      </c>
      <c r="K2">
        <v>5.98</v>
      </c>
      <c r="L2">
        <v>0.2</v>
      </c>
      <c r="M2">
        <f>AVERAGE(J2:L2)</f>
        <v>3.6566666666666663</v>
      </c>
      <c r="P2" t="s">
        <v>72</v>
      </c>
      <c r="Q2">
        <v>0</v>
      </c>
      <c r="R2">
        <v>9.33</v>
      </c>
      <c r="S2">
        <v>0.2</v>
      </c>
      <c r="T2">
        <v>2.16</v>
      </c>
      <c r="U2">
        <v>4.79</v>
      </c>
      <c r="V2">
        <v>5.98</v>
      </c>
      <c r="W2">
        <v>0.2</v>
      </c>
      <c r="AD2" t="s">
        <v>72</v>
      </c>
      <c r="AE2">
        <v>3.8966666666666665</v>
      </c>
      <c r="AF2">
        <v>3.6566666666666663</v>
      </c>
    </row>
    <row r="3" spans="1:34" x14ac:dyDescent="0.25">
      <c r="E3" t="s">
        <v>66</v>
      </c>
      <c r="F3" t="s">
        <v>67</v>
      </c>
      <c r="G3" t="s">
        <v>68</v>
      </c>
      <c r="J3" t="s">
        <v>69</v>
      </c>
      <c r="K3" t="s">
        <v>70</v>
      </c>
      <c r="L3" t="s">
        <v>71</v>
      </c>
      <c r="M3"/>
      <c r="P3" t="s">
        <v>74</v>
      </c>
      <c r="Q3">
        <v>0</v>
      </c>
      <c r="R3">
        <v>4.93</v>
      </c>
      <c r="S3">
        <v>3.57</v>
      </c>
      <c r="T3">
        <v>3.91</v>
      </c>
      <c r="U3">
        <v>1.42</v>
      </c>
      <c r="V3">
        <v>1.61</v>
      </c>
      <c r="W3">
        <v>4.79</v>
      </c>
      <c r="AD3" t="s">
        <v>74</v>
      </c>
      <c r="AE3">
        <v>4.1366666666666667</v>
      </c>
      <c r="AF3">
        <v>2.6066666666666669</v>
      </c>
    </row>
    <row r="4" spans="1:34" x14ac:dyDescent="0.25">
      <c r="A4" t="s">
        <v>74</v>
      </c>
      <c r="B4" t="s">
        <v>31</v>
      </c>
      <c r="C4" t="s">
        <v>75</v>
      </c>
      <c r="D4" t="str">
        <f t="shared" ref="D4" si="0">A4</f>
        <v>Pelvic Obliquity</v>
      </c>
      <c r="E4">
        <v>4.93</v>
      </c>
      <c r="F4">
        <v>3.57</v>
      </c>
      <c r="G4">
        <v>3.91</v>
      </c>
      <c r="H4">
        <f t="shared" ref="H4:H10" si="1">AVERAGE(E4:G4)</f>
        <v>4.1366666666666667</v>
      </c>
      <c r="I4" t="str">
        <f>A4</f>
        <v>Pelvic Obliquity</v>
      </c>
      <c r="J4">
        <v>1.42</v>
      </c>
      <c r="K4">
        <v>1.61</v>
      </c>
      <c r="L4">
        <v>4.79</v>
      </c>
      <c r="M4">
        <f t="shared" ref="M4:M10" si="2">AVERAGE(J4:L4)</f>
        <v>2.6066666666666669</v>
      </c>
      <c r="P4" t="s">
        <v>91</v>
      </c>
      <c r="Q4">
        <v>0</v>
      </c>
      <c r="R4">
        <v>12.03</v>
      </c>
      <c r="S4">
        <v>11.69</v>
      </c>
      <c r="T4">
        <v>11.64</v>
      </c>
      <c r="U4">
        <v>8.8699999999999992</v>
      </c>
      <c r="V4">
        <v>12.35</v>
      </c>
      <c r="W4">
        <v>15.39</v>
      </c>
      <c r="AD4" t="s">
        <v>91</v>
      </c>
      <c r="AE4">
        <v>11.786666666666667</v>
      </c>
      <c r="AF4">
        <v>12.203333333333333</v>
      </c>
    </row>
    <row r="5" spans="1:34" x14ac:dyDescent="0.25">
      <c r="D5" t="s">
        <v>9</v>
      </c>
      <c r="E5" t="s">
        <v>66</v>
      </c>
      <c r="F5" t="s">
        <v>67</v>
      </c>
      <c r="G5" t="s">
        <v>68</v>
      </c>
      <c r="I5" t="s">
        <v>9</v>
      </c>
      <c r="J5" t="s">
        <v>69</v>
      </c>
      <c r="K5" t="s">
        <v>70</v>
      </c>
      <c r="L5" t="s">
        <v>71</v>
      </c>
      <c r="M5"/>
      <c r="P5" t="s">
        <v>92</v>
      </c>
      <c r="Q5">
        <v>0</v>
      </c>
      <c r="R5">
        <v>-10.63</v>
      </c>
      <c r="S5">
        <v>-7.2</v>
      </c>
      <c r="T5">
        <v>-11.3</v>
      </c>
      <c r="U5">
        <v>-5.7</v>
      </c>
      <c r="V5">
        <v>-8.98</v>
      </c>
      <c r="W5">
        <v>-3.78</v>
      </c>
      <c r="AD5" t="s">
        <v>92</v>
      </c>
      <c r="AE5">
        <v>-9.7100000000000009</v>
      </c>
      <c r="AF5">
        <v>-6.1533333333333333</v>
      </c>
    </row>
    <row r="6" spans="1:34" x14ac:dyDescent="0.25">
      <c r="A6" t="s">
        <v>9</v>
      </c>
      <c r="B6" t="s">
        <v>31</v>
      </c>
      <c r="C6" t="s">
        <v>76</v>
      </c>
      <c r="D6" t="s">
        <v>58</v>
      </c>
      <c r="E6">
        <v>12.03</v>
      </c>
      <c r="F6">
        <v>11.69</v>
      </c>
      <c r="G6">
        <v>11.64</v>
      </c>
      <c r="H6">
        <f t="shared" si="1"/>
        <v>11.786666666666667</v>
      </c>
      <c r="I6" t="s">
        <v>58</v>
      </c>
      <c r="J6">
        <v>8.8699999999999992</v>
      </c>
      <c r="K6">
        <v>12.35</v>
      </c>
      <c r="L6">
        <v>15.39</v>
      </c>
      <c r="M6">
        <f t="shared" si="2"/>
        <v>12.203333333333333</v>
      </c>
      <c r="P6" t="s">
        <v>93</v>
      </c>
      <c r="Q6">
        <v>0</v>
      </c>
      <c r="R6">
        <v>0.92</v>
      </c>
      <c r="S6">
        <v>0.55000000000000004</v>
      </c>
      <c r="T6">
        <v>0.02</v>
      </c>
      <c r="U6">
        <v>-3.01</v>
      </c>
      <c r="V6">
        <v>-1.53</v>
      </c>
      <c r="W6">
        <v>-1.54</v>
      </c>
      <c r="AD6" t="s">
        <v>93</v>
      </c>
      <c r="AE6">
        <v>0.49666666666666676</v>
      </c>
      <c r="AF6">
        <v>-2.0266666666666668</v>
      </c>
    </row>
    <row r="7" spans="1:34" x14ac:dyDescent="0.25">
      <c r="B7" t="s">
        <v>0</v>
      </c>
      <c r="C7" t="s">
        <v>77</v>
      </c>
      <c r="D7" t="s">
        <v>57</v>
      </c>
      <c r="E7">
        <v>-10.63</v>
      </c>
      <c r="F7">
        <v>-7.2</v>
      </c>
      <c r="G7">
        <v>-11.3</v>
      </c>
      <c r="H7">
        <f t="shared" si="1"/>
        <v>-9.7100000000000009</v>
      </c>
      <c r="I7" t="s">
        <v>57</v>
      </c>
      <c r="J7">
        <v>-5.7</v>
      </c>
      <c r="K7">
        <v>-8.98</v>
      </c>
      <c r="L7">
        <v>-3.78</v>
      </c>
      <c r="M7">
        <f t="shared" si="2"/>
        <v>-6.1533333333333333</v>
      </c>
      <c r="P7" t="s">
        <v>94</v>
      </c>
      <c r="Q7">
        <v>0</v>
      </c>
      <c r="R7">
        <v>1.87</v>
      </c>
      <c r="S7">
        <v>0.92</v>
      </c>
      <c r="T7">
        <v>1</v>
      </c>
      <c r="U7">
        <v>-0.34</v>
      </c>
      <c r="V7">
        <v>-0.09</v>
      </c>
      <c r="W7">
        <v>-0.94</v>
      </c>
      <c r="AD7" t="s">
        <v>94</v>
      </c>
      <c r="AE7">
        <v>1.2633333333333334</v>
      </c>
      <c r="AF7">
        <v>-0.45666666666666672</v>
      </c>
    </row>
    <row r="8" spans="1:34" x14ac:dyDescent="0.25">
      <c r="D8" t="s">
        <v>7</v>
      </c>
      <c r="E8" t="s">
        <v>66</v>
      </c>
      <c r="F8" t="s">
        <v>67</v>
      </c>
      <c r="G8" t="s">
        <v>68</v>
      </c>
      <c r="I8" t="str">
        <f>A9</f>
        <v xml:space="preserve">Knee valgus </v>
      </c>
      <c r="J8" t="s">
        <v>69</v>
      </c>
      <c r="K8" t="s">
        <v>70</v>
      </c>
      <c r="L8" t="s">
        <v>71</v>
      </c>
      <c r="M8"/>
    </row>
    <row r="9" spans="1:34" x14ac:dyDescent="0.25">
      <c r="A9" t="s">
        <v>78</v>
      </c>
      <c r="B9" t="s">
        <v>31</v>
      </c>
      <c r="C9" t="s">
        <v>77</v>
      </c>
      <c r="D9" t="s">
        <v>58</v>
      </c>
      <c r="E9">
        <v>0.92</v>
      </c>
      <c r="F9">
        <v>0.55000000000000004</v>
      </c>
      <c r="G9">
        <v>0.02</v>
      </c>
      <c r="H9">
        <f t="shared" si="1"/>
        <v>0.49666666666666676</v>
      </c>
      <c r="I9" t="s">
        <v>58</v>
      </c>
      <c r="J9">
        <v>-3.01</v>
      </c>
      <c r="K9">
        <v>-1.53</v>
      </c>
      <c r="L9">
        <v>-1.54</v>
      </c>
      <c r="M9">
        <f t="shared" si="2"/>
        <v>-2.0266666666666668</v>
      </c>
      <c r="P9" s="29" t="s">
        <v>99</v>
      </c>
      <c r="Q9" s="29"/>
      <c r="R9" s="29"/>
      <c r="S9" s="29"/>
      <c r="T9" s="29"/>
      <c r="U9" s="29"/>
      <c r="V9" s="29"/>
      <c r="W9" s="29"/>
      <c r="X9" s="29"/>
      <c r="Z9" s="29" t="s">
        <v>100</v>
      </c>
      <c r="AA9" s="29"/>
      <c r="AB9" s="29"/>
      <c r="AC9" s="29"/>
      <c r="AD9" s="29"/>
      <c r="AE9" s="29"/>
      <c r="AF9" s="29"/>
      <c r="AG9" s="29"/>
      <c r="AH9" s="29"/>
    </row>
    <row r="10" spans="1:34" x14ac:dyDescent="0.25">
      <c r="B10" t="s">
        <v>0</v>
      </c>
      <c r="C10" t="s">
        <v>79</v>
      </c>
      <c r="D10" t="s">
        <v>57</v>
      </c>
      <c r="E10">
        <v>1.87</v>
      </c>
      <c r="F10">
        <v>0.92</v>
      </c>
      <c r="G10">
        <v>1</v>
      </c>
      <c r="H10">
        <f t="shared" si="1"/>
        <v>1.2633333333333334</v>
      </c>
      <c r="I10" t="s">
        <v>57</v>
      </c>
      <c r="J10">
        <v>-0.34</v>
      </c>
      <c r="K10">
        <v>-0.09</v>
      </c>
      <c r="L10">
        <v>-0.94</v>
      </c>
      <c r="M10">
        <f t="shared" si="2"/>
        <v>-0.45666666666666672</v>
      </c>
      <c r="P10" s="29"/>
      <c r="Q10" s="29"/>
      <c r="R10" s="29"/>
      <c r="S10" s="29"/>
      <c r="T10" s="29"/>
      <c r="U10" s="29"/>
      <c r="V10" s="29"/>
      <c r="W10" s="29"/>
      <c r="X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x14ac:dyDescent="0.25">
      <c r="D11" s="15" t="s">
        <v>87</v>
      </c>
      <c r="E11" s="15"/>
      <c r="F11" s="15">
        <f>AVERAGE(E10:G10)</f>
        <v>1.2633333333333334</v>
      </c>
      <c r="G11" s="15"/>
      <c r="H11" s="15"/>
      <c r="I11" s="15"/>
      <c r="J11" s="15"/>
      <c r="K11" s="15">
        <f>AVERAGE(J10:L10)</f>
        <v>-0.45666666666666672</v>
      </c>
    </row>
    <row r="12" spans="1:34" x14ac:dyDescent="0.25">
      <c r="D12" t="s">
        <v>88</v>
      </c>
      <c r="K12" s="12"/>
      <c r="P12" s="12"/>
      <c r="Q12" s="12"/>
    </row>
    <row r="13" spans="1:34" x14ac:dyDescent="0.25">
      <c r="H13" t="s">
        <v>106</v>
      </c>
      <c r="I13" t="s">
        <v>88</v>
      </c>
      <c r="J13" t="s">
        <v>89</v>
      </c>
      <c r="K13" s="15"/>
      <c r="L13" s="15" t="s">
        <v>103</v>
      </c>
      <c r="M13" t="s">
        <v>98</v>
      </c>
    </row>
    <row r="14" spans="1:34" x14ac:dyDescent="0.25">
      <c r="D14" t="s">
        <v>80</v>
      </c>
      <c r="E14" t="s">
        <v>81</v>
      </c>
      <c r="G14" t="s">
        <v>82</v>
      </c>
      <c r="H14" s="13">
        <f>IF($E$14="left", AVERAGE(E2:G2) - AVERAGE(J2:L2), AVERAGE(J2:L2) - AVERAGE(E2:G2))</f>
        <v>0.24000000000000021</v>
      </c>
      <c r="I14" s="14">
        <f>AVERAGE(E2:G2)/AVERAGE(J2:L2)</f>
        <v>1.06563354603464</v>
      </c>
      <c r="J14" s="11">
        <f>(H2-M2)/(0.5*(H2+M2))</f>
        <v>6.3548102383053903E-2</v>
      </c>
      <c r="K14" s="15" t="s">
        <v>82</v>
      </c>
      <c r="L14" s="16">
        <f t="shared" ref="L14:L19" si="3">H14/M14</f>
        <v>1.2000000000000011E-2</v>
      </c>
      <c r="M14">
        <v>20</v>
      </c>
      <c r="P14" s="12"/>
      <c r="Q14" s="12"/>
      <c r="R14" s="12"/>
    </row>
    <row r="15" spans="1:34" x14ac:dyDescent="0.25">
      <c r="G15" t="s">
        <v>83</v>
      </c>
      <c r="H15" s="13">
        <f>IF($E$14="left", AVERAGE(E4:G4) - AVERAGE(J4:L4), AVERAGE(J4:L4) - AVERAGE(E4:G4))</f>
        <v>1.5299999999999998</v>
      </c>
      <c r="I15" s="14">
        <f>AVERAGE(E4:G4)/AVERAGE(J4:L4)</f>
        <v>1.5869565217391304</v>
      </c>
      <c r="J15" s="11">
        <f>(H4-M4)/(0.5*(H4+M4))</f>
        <v>0.4537815126050419</v>
      </c>
      <c r="K15" s="15" t="s">
        <v>83</v>
      </c>
      <c r="L15" s="16">
        <f t="shared" si="3"/>
        <v>0.15299999999999997</v>
      </c>
      <c r="M15">
        <v>10</v>
      </c>
      <c r="P15" s="12"/>
      <c r="Q15" s="12"/>
      <c r="R15" s="12"/>
    </row>
    <row r="16" spans="1:34" x14ac:dyDescent="0.25">
      <c r="F16" t="s">
        <v>84</v>
      </c>
      <c r="G16" t="s">
        <v>58</v>
      </c>
      <c r="H16" s="13">
        <f>IF($E$14="left", AVERAGE(E6:G6) - AVERAGE(J6:L6), AVERAGE(J6:L6) - AVERAGE(E6:G6))</f>
        <v>-0.41666666666666607</v>
      </c>
      <c r="I16" s="14">
        <f>AVERAGE(E6:G6)/AVERAGE(J6:L6)</f>
        <v>0.9658563234089047</v>
      </c>
      <c r="J16" s="11">
        <f>(H6-M6)/(0.5*(H6+M6))</f>
        <v>-3.4736695845491126E-2</v>
      </c>
      <c r="K16" s="15" t="s">
        <v>58</v>
      </c>
      <c r="L16" s="16">
        <f t="shared" si="3"/>
        <v>-2.7777777777777738E-2</v>
      </c>
      <c r="M16">
        <v>15</v>
      </c>
    </row>
    <row r="17" spans="1:13" x14ac:dyDescent="0.25">
      <c r="G17" t="s">
        <v>57</v>
      </c>
      <c r="H17" s="13">
        <f>IF($E$14="left", AVERAGE(E7:G7) - AVERAGE(J7:L7), AVERAGE(J7:L7) - AVERAGE(E7:G7))</f>
        <v>-3.5566666666666675</v>
      </c>
      <c r="I17" s="14">
        <f>AVERAGE(E7:G7)/AVERAGE(J7:L7)</f>
        <v>1.5780065005417119</v>
      </c>
      <c r="J17" s="11">
        <f>(H7-M7)/(0.5*(H7+M7))</f>
        <v>0.44841353225467545</v>
      </c>
      <c r="K17" s="15" t="s">
        <v>57</v>
      </c>
      <c r="L17" s="16">
        <f t="shared" si="3"/>
        <v>-0.35566666666666674</v>
      </c>
      <c r="M17">
        <v>10</v>
      </c>
    </row>
    <row r="18" spans="1:13" x14ac:dyDescent="0.25">
      <c r="F18" t="s">
        <v>105</v>
      </c>
      <c r="G18" t="s">
        <v>58</v>
      </c>
      <c r="H18" s="13">
        <f>IF($E$14="left", AVERAGE(E9:G9) - AVERAGE(J9:L9), AVERAGE(J9:L9) - AVERAGE(E9:G9))</f>
        <v>2.5233333333333334</v>
      </c>
      <c r="I18" s="14">
        <f>AVERAGE(E9:G9)/AVERAGE(J9:L9)</f>
        <v>-0.24506578947368424</v>
      </c>
      <c r="J18" s="11">
        <f>(H9-M9)/(0.5*(H9+M9))</f>
        <v>-3.2984749455337692</v>
      </c>
      <c r="K18" s="15" t="s">
        <v>58</v>
      </c>
      <c r="L18" s="16">
        <f t="shared" si="3"/>
        <v>0.50466666666666671</v>
      </c>
      <c r="M18">
        <v>5</v>
      </c>
    </row>
    <row r="19" spans="1:13" x14ac:dyDescent="0.25">
      <c r="G19" t="s">
        <v>57</v>
      </c>
      <c r="H19" s="13">
        <f>IF($E$14="left", AVERAGE(E10:G10) - AVERAGE(J10:L10), AVERAGE(J10:L10) - AVERAGE(E10:G10))</f>
        <v>1.7200000000000002</v>
      </c>
      <c r="I19" s="14">
        <f>AVERAGE(E10:G10)/AVERAGE(J10:L10)</f>
        <v>-2.7664233576642334</v>
      </c>
      <c r="J19" s="17">
        <f>(H10-M10)/(0.5*(H10+M10))</f>
        <v>4.2644628099173563</v>
      </c>
      <c r="K19" s="15" t="s">
        <v>57</v>
      </c>
      <c r="L19" s="16">
        <f t="shared" si="3"/>
        <v>0.34400000000000003</v>
      </c>
      <c r="M19">
        <v>5</v>
      </c>
    </row>
    <row r="21" spans="1:13" x14ac:dyDescent="0.25">
      <c r="A21" s="30" t="s">
        <v>85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3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3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34" spans="16:35" x14ac:dyDescent="0.25">
      <c r="P34" s="29" t="s">
        <v>101</v>
      </c>
      <c r="Q34" s="29"/>
      <c r="R34" s="29"/>
      <c r="S34" s="29"/>
      <c r="T34" s="29"/>
      <c r="U34" s="29"/>
      <c r="V34" s="29"/>
      <c r="W34" s="29"/>
      <c r="X34" s="29"/>
      <c r="AA34" s="29" t="s">
        <v>104</v>
      </c>
      <c r="AB34" s="29"/>
      <c r="AC34" s="29"/>
      <c r="AD34" s="29"/>
      <c r="AE34" s="29"/>
      <c r="AF34" s="29"/>
      <c r="AG34" s="29"/>
      <c r="AH34" s="29"/>
      <c r="AI34" s="29"/>
    </row>
    <row r="35" spans="16:35" x14ac:dyDescent="0.25">
      <c r="P35" s="29"/>
      <c r="Q35" s="29"/>
      <c r="R35" s="29"/>
      <c r="S35" s="29"/>
      <c r="T35" s="29"/>
      <c r="U35" s="29"/>
      <c r="V35" s="29"/>
      <c r="W35" s="29"/>
      <c r="X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spans="16:35" x14ac:dyDescent="0.25">
      <c r="Q36" t="s">
        <v>66</v>
      </c>
      <c r="R36" t="s">
        <v>67</v>
      </c>
      <c r="S36" t="s">
        <v>68</v>
      </c>
      <c r="T36" t="s">
        <v>69</v>
      </c>
      <c r="U36" t="s">
        <v>70</v>
      </c>
      <c r="V36" t="s">
        <v>71</v>
      </c>
      <c r="W36" t="s">
        <v>96</v>
      </c>
      <c r="X36" s="13" t="s">
        <v>97</v>
      </c>
      <c r="Y36" t="s">
        <v>98</v>
      </c>
      <c r="AB36" t="s">
        <v>72</v>
      </c>
      <c r="AC36" t="s">
        <v>74</v>
      </c>
      <c r="AD36" t="s">
        <v>91</v>
      </c>
      <c r="AE36" t="s">
        <v>92</v>
      </c>
      <c r="AF36" t="s">
        <v>93</v>
      </c>
      <c r="AG36" t="s">
        <v>94</v>
      </c>
    </row>
    <row r="37" spans="16:35" x14ac:dyDescent="0.25">
      <c r="P37" t="s">
        <v>72</v>
      </c>
      <c r="Q37">
        <f t="shared" ref="Q37:V42" si="4">(R2-$X37)/$Y37</f>
        <v>-3.3499999999999995E-2</v>
      </c>
      <c r="R37">
        <f t="shared" si="4"/>
        <v>-0.49000000000000005</v>
      </c>
      <c r="S37">
        <f t="shared" si="4"/>
        <v>-0.39200000000000002</v>
      </c>
      <c r="T37">
        <f t="shared" si="4"/>
        <v>-0.26050000000000001</v>
      </c>
      <c r="U37">
        <f t="shared" si="4"/>
        <v>-0.20099999999999998</v>
      </c>
      <c r="V37">
        <f t="shared" si="4"/>
        <v>-0.49000000000000005</v>
      </c>
      <c r="W37">
        <v>0</v>
      </c>
      <c r="X37">
        <v>10</v>
      </c>
      <c r="Y37">
        <v>20</v>
      </c>
      <c r="AA37" t="s">
        <v>66</v>
      </c>
      <c r="AB37">
        <v>9.33</v>
      </c>
      <c r="AC37">
        <v>4.93</v>
      </c>
      <c r="AD37">
        <v>12.03</v>
      </c>
      <c r="AE37">
        <v>-10.63</v>
      </c>
      <c r="AF37">
        <v>0.92</v>
      </c>
      <c r="AG37">
        <v>1.87</v>
      </c>
    </row>
    <row r="38" spans="16:35" x14ac:dyDescent="0.25">
      <c r="P38" t="s">
        <v>74</v>
      </c>
      <c r="Q38">
        <f t="shared" si="4"/>
        <v>-7.0000000000000288E-3</v>
      </c>
      <c r="R38">
        <f t="shared" si="4"/>
        <v>-0.14300000000000002</v>
      </c>
      <c r="S38">
        <f t="shared" si="4"/>
        <v>-0.10899999999999999</v>
      </c>
      <c r="T38">
        <f t="shared" si="4"/>
        <v>-0.35799999999999998</v>
      </c>
      <c r="U38">
        <f t="shared" si="4"/>
        <v>-0.33899999999999997</v>
      </c>
      <c r="V38">
        <f t="shared" si="4"/>
        <v>-2.0999999999999998E-2</v>
      </c>
      <c r="W38">
        <v>0</v>
      </c>
      <c r="X38">
        <v>5</v>
      </c>
      <c r="Y38">
        <v>10</v>
      </c>
      <c r="AA38" t="s">
        <v>67</v>
      </c>
      <c r="AB38">
        <v>0.2</v>
      </c>
      <c r="AC38">
        <v>3.57</v>
      </c>
      <c r="AD38">
        <v>11.69</v>
      </c>
      <c r="AE38">
        <v>-7.2</v>
      </c>
      <c r="AF38">
        <v>0.55000000000000004</v>
      </c>
      <c r="AG38">
        <v>0.92</v>
      </c>
    </row>
    <row r="39" spans="16:35" x14ac:dyDescent="0.25">
      <c r="P39" t="s">
        <v>91</v>
      </c>
      <c r="Q39">
        <f t="shared" si="4"/>
        <v>-0.19800000000000004</v>
      </c>
      <c r="R39">
        <f t="shared" si="4"/>
        <v>-0.22066666666666671</v>
      </c>
      <c r="S39">
        <f t="shared" si="4"/>
        <v>-0.22399999999999995</v>
      </c>
      <c r="T39">
        <f t="shared" si="4"/>
        <v>-0.40866666666666673</v>
      </c>
      <c r="U39">
        <f t="shared" si="4"/>
        <v>-0.17666666666666669</v>
      </c>
      <c r="V39">
        <f t="shared" si="4"/>
        <v>2.6000000000000037E-2</v>
      </c>
      <c r="W39">
        <v>0</v>
      </c>
      <c r="X39">
        <v>15</v>
      </c>
      <c r="Y39">
        <v>15</v>
      </c>
      <c r="AA39" t="s">
        <v>68</v>
      </c>
      <c r="AB39">
        <v>2.16</v>
      </c>
      <c r="AC39">
        <v>3.91</v>
      </c>
      <c r="AD39">
        <v>11.64</v>
      </c>
      <c r="AE39">
        <v>-11.3</v>
      </c>
      <c r="AF39">
        <v>0.02</v>
      </c>
      <c r="AG39">
        <v>1</v>
      </c>
    </row>
    <row r="40" spans="16:35" x14ac:dyDescent="0.25">
      <c r="P40" t="s">
        <v>92</v>
      </c>
      <c r="Q40">
        <f t="shared" si="4"/>
        <v>-1.0630000000000002</v>
      </c>
      <c r="R40">
        <f t="shared" si="4"/>
        <v>-0.72</v>
      </c>
      <c r="S40">
        <f t="shared" si="4"/>
        <v>-1.1300000000000001</v>
      </c>
      <c r="T40">
        <f t="shared" si="4"/>
        <v>-0.57000000000000006</v>
      </c>
      <c r="U40">
        <f t="shared" si="4"/>
        <v>-0.89800000000000002</v>
      </c>
      <c r="V40">
        <f t="shared" si="4"/>
        <v>-0.378</v>
      </c>
      <c r="W40">
        <v>0</v>
      </c>
      <c r="X40">
        <v>0</v>
      </c>
      <c r="Y40">
        <v>10</v>
      </c>
      <c r="AA40" t="s">
        <v>69</v>
      </c>
      <c r="AB40">
        <v>4.79</v>
      </c>
      <c r="AC40">
        <v>1.42</v>
      </c>
      <c r="AD40">
        <v>8.8699999999999992</v>
      </c>
      <c r="AE40">
        <v>-5.7</v>
      </c>
      <c r="AF40">
        <v>-3.01</v>
      </c>
      <c r="AG40">
        <v>-0.34</v>
      </c>
    </row>
    <row r="41" spans="16:35" x14ac:dyDescent="0.25">
      <c r="P41" t="s">
        <v>93</v>
      </c>
      <c r="Q41">
        <f t="shared" si="4"/>
        <v>0.184</v>
      </c>
      <c r="R41">
        <f t="shared" si="4"/>
        <v>0.11000000000000001</v>
      </c>
      <c r="S41">
        <f t="shared" si="4"/>
        <v>4.0000000000000001E-3</v>
      </c>
      <c r="T41">
        <f t="shared" si="4"/>
        <v>-0.60199999999999998</v>
      </c>
      <c r="U41">
        <f t="shared" si="4"/>
        <v>-0.30599999999999999</v>
      </c>
      <c r="V41">
        <f t="shared" si="4"/>
        <v>-0.308</v>
      </c>
      <c r="W41">
        <v>0</v>
      </c>
      <c r="X41">
        <v>0</v>
      </c>
      <c r="Y41">
        <v>5</v>
      </c>
      <c r="AA41" t="s">
        <v>70</v>
      </c>
      <c r="AB41">
        <v>5.98</v>
      </c>
      <c r="AC41">
        <v>1.61</v>
      </c>
      <c r="AD41">
        <v>12.35</v>
      </c>
      <c r="AE41">
        <v>-8.98</v>
      </c>
      <c r="AF41">
        <v>-1.53</v>
      </c>
      <c r="AG41">
        <v>-0.09</v>
      </c>
    </row>
    <row r="42" spans="16:35" x14ac:dyDescent="0.25">
      <c r="P42" t="s">
        <v>94</v>
      </c>
      <c r="Q42">
        <f t="shared" si="4"/>
        <v>-2.5999999999999978E-2</v>
      </c>
      <c r="R42">
        <f t="shared" si="4"/>
        <v>-0.21600000000000003</v>
      </c>
      <c r="S42">
        <f t="shared" si="4"/>
        <v>-0.2</v>
      </c>
      <c r="T42">
        <f t="shared" si="4"/>
        <v>-0.46799999999999997</v>
      </c>
      <c r="U42">
        <f t="shared" si="4"/>
        <v>-0.41799999999999998</v>
      </c>
      <c r="V42">
        <f t="shared" si="4"/>
        <v>-0.58799999999999997</v>
      </c>
      <c r="W42">
        <v>0</v>
      </c>
      <c r="X42">
        <v>2</v>
      </c>
      <c r="Y42">
        <v>5</v>
      </c>
      <c r="AA42" t="s">
        <v>71</v>
      </c>
      <c r="AB42">
        <v>0.2</v>
      </c>
      <c r="AC42">
        <v>4.79</v>
      </c>
      <c r="AD42">
        <v>15.39</v>
      </c>
      <c r="AE42">
        <v>-3.78</v>
      </c>
      <c r="AF42">
        <v>-1.54</v>
      </c>
      <c r="AG42">
        <v>-0.94</v>
      </c>
    </row>
    <row r="59" spans="27:35" x14ac:dyDescent="0.25">
      <c r="AA59" s="29" t="s">
        <v>102</v>
      </c>
      <c r="AB59" s="29"/>
      <c r="AC59" s="29"/>
      <c r="AD59" s="29"/>
      <c r="AE59" s="29"/>
      <c r="AF59" s="29"/>
      <c r="AG59" s="29"/>
      <c r="AH59" s="29"/>
      <c r="AI59" s="29"/>
    </row>
    <row r="60" spans="27:35" x14ac:dyDescent="0.25">
      <c r="AA60" s="29"/>
      <c r="AB60" s="29"/>
      <c r="AC60" s="29"/>
      <c r="AD60" s="29"/>
      <c r="AE60" s="29"/>
      <c r="AF60" s="29"/>
      <c r="AG60" s="29"/>
      <c r="AH60" s="29"/>
      <c r="AI60" s="29"/>
    </row>
    <row r="61" spans="27:35" x14ac:dyDescent="0.25">
      <c r="AB61" t="s">
        <v>72</v>
      </c>
      <c r="AC61" t="s">
        <v>74</v>
      </c>
      <c r="AD61" t="s">
        <v>91</v>
      </c>
      <c r="AE61" t="s">
        <v>92</v>
      </c>
      <c r="AF61" t="s">
        <v>93</v>
      </c>
      <c r="AG61" t="s">
        <v>94</v>
      </c>
    </row>
    <row r="62" spans="27:35" x14ac:dyDescent="0.25">
      <c r="AA62" t="s">
        <v>66</v>
      </c>
      <c r="AB62">
        <v>-3.3499999999999995E-2</v>
      </c>
      <c r="AC62">
        <v>-7.0000000000000288E-3</v>
      </c>
      <c r="AD62">
        <v>-0.19800000000000004</v>
      </c>
      <c r="AE62">
        <v>-1.0630000000000002</v>
      </c>
      <c r="AF62">
        <v>0.184</v>
      </c>
      <c r="AG62">
        <v>-2.5999999999999978E-2</v>
      </c>
    </row>
    <row r="63" spans="27:35" x14ac:dyDescent="0.25">
      <c r="AA63" t="s">
        <v>67</v>
      </c>
      <c r="AB63">
        <v>-0.49000000000000005</v>
      </c>
      <c r="AC63">
        <v>-0.14300000000000002</v>
      </c>
      <c r="AD63">
        <v>-0.22066666666666671</v>
      </c>
      <c r="AE63">
        <v>-0.72</v>
      </c>
      <c r="AF63">
        <v>0.11000000000000001</v>
      </c>
      <c r="AG63">
        <v>-0.21600000000000003</v>
      </c>
    </row>
    <row r="64" spans="27:35" x14ac:dyDescent="0.25">
      <c r="AA64" t="s">
        <v>68</v>
      </c>
      <c r="AB64">
        <v>-0.39200000000000002</v>
      </c>
      <c r="AC64">
        <v>-0.10899999999999999</v>
      </c>
      <c r="AD64">
        <v>-0.22399999999999995</v>
      </c>
      <c r="AE64">
        <v>-1.1300000000000001</v>
      </c>
      <c r="AF64">
        <v>4.0000000000000001E-3</v>
      </c>
      <c r="AG64">
        <v>-0.2</v>
      </c>
    </row>
    <row r="65" spans="27:41" x14ac:dyDescent="0.25">
      <c r="AA65" t="s">
        <v>69</v>
      </c>
      <c r="AB65">
        <v>-0.26050000000000001</v>
      </c>
      <c r="AC65">
        <v>-0.35799999999999998</v>
      </c>
      <c r="AD65">
        <v>-0.40866666666666673</v>
      </c>
      <c r="AE65">
        <v>-0.57000000000000006</v>
      </c>
      <c r="AF65">
        <v>-0.60199999999999998</v>
      </c>
      <c r="AG65">
        <v>-0.46799999999999997</v>
      </c>
    </row>
    <row r="66" spans="27:41" x14ac:dyDescent="0.25">
      <c r="AA66" t="s">
        <v>70</v>
      </c>
      <c r="AB66">
        <v>-0.20099999999999998</v>
      </c>
      <c r="AC66">
        <v>-0.33899999999999997</v>
      </c>
      <c r="AD66">
        <v>-0.17666666666666669</v>
      </c>
      <c r="AE66">
        <v>-0.89800000000000002</v>
      </c>
      <c r="AF66">
        <v>-0.30599999999999999</v>
      </c>
      <c r="AG66">
        <v>-0.41799999999999998</v>
      </c>
    </row>
    <row r="67" spans="27:41" x14ac:dyDescent="0.25">
      <c r="AA67" t="s">
        <v>71</v>
      </c>
      <c r="AB67">
        <v>-0.49000000000000005</v>
      </c>
      <c r="AC67">
        <v>-2.0999999999999998E-2</v>
      </c>
      <c r="AD67">
        <v>2.6000000000000037E-2</v>
      </c>
      <c r="AE67">
        <v>-0.378</v>
      </c>
      <c r="AF67">
        <v>-0.308</v>
      </c>
      <c r="AG67">
        <v>-0.58799999999999997</v>
      </c>
    </row>
    <row r="73" spans="27:41" x14ac:dyDescent="0.25">
      <c r="AJ73" t="s">
        <v>66</v>
      </c>
      <c r="AK73" t="s">
        <v>67</v>
      </c>
      <c r="AL73" t="s">
        <v>68</v>
      </c>
      <c r="AM73" t="s">
        <v>69</v>
      </c>
      <c r="AN73" t="s">
        <v>70</v>
      </c>
      <c r="AO73" t="s">
        <v>71</v>
      </c>
    </row>
    <row r="74" spans="27:41" x14ac:dyDescent="0.25">
      <c r="AI74" t="s">
        <v>72</v>
      </c>
      <c r="AJ74">
        <v>9.33</v>
      </c>
      <c r="AK74">
        <v>0.2</v>
      </c>
      <c r="AL74">
        <v>2.16</v>
      </c>
      <c r="AM74">
        <v>4.79</v>
      </c>
      <c r="AN74">
        <v>5.98</v>
      </c>
      <c r="AO74">
        <v>0.2</v>
      </c>
    </row>
    <row r="75" spans="27:41" x14ac:dyDescent="0.25">
      <c r="AI75" t="s">
        <v>74</v>
      </c>
      <c r="AJ75">
        <v>4.93</v>
      </c>
      <c r="AK75">
        <v>3.57</v>
      </c>
      <c r="AL75">
        <v>3.91</v>
      </c>
      <c r="AM75">
        <v>1.42</v>
      </c>
      <c r="AN75">
        <v>1.61</v>
      </c>
      <c r="AO75">
        <v>4.79</v>
      </c>
    </row>
    <row r="76" spans="27:41" x14ac:dyDescent="0.25">
      <c r="AI76" t="s">
        <v>91</v>
      </c>
      <c r="AJ76">
        <v>12.03</v>
      </c>
      <c r="AK76">
        <v>11.69</v>
      </c>
      <c r="AL76">
        <v>11.64</v>
      </c>
      <c r="AM76">
        <v>8.8699999999999992</v>
      </c>
      <c r="AN76">
        <v>12.35</v>
      </c>
      <c r="AO76">
        <v>15.39</v>
      </c>
    </row>
    <row r="77" spans="27:41" x14ac:dyDescent="0.25">
      <c r="AI77" t="s">
        <v>92</v>
      </c>
      <c r="AJ77">
        <v>-10.63</v>
      </c>
      <c r="AK77">
        <v>-7.2</v>
      </c>
      <c r="AL77">
        <v>-11.3</v>
      </c>
      <c r="AM77">
        <v>-5.7</v>
      </c>
      <c r="AN77">
        <v>-8.98</v>
      </c>
      <c r="AO77">
        <v>-3.78</v>
      </c>
    </row>
    <row r="78" spans="27:41" x14ac:dyDescent="0.25">
      <c r="AI78" t="s">
        <v>93</v>
      </c>
      <c r="AJ78">
        <v>0.92</v>
      </c>
      <c r="AK78">
        <v>0.55000000000000004</v>
      </c>
      <c r="AL78">
        <v>0.02</v>
      </c>
      <c r="AM78">
        <v>-3.01</v>
      </c>
      <c r="AN78">
        <v>-1.53</v>
      </c>
      <c r="AO78">
        <v>-1.54</v>
      </c>
    </row>
    <row r="79" spans="27:41" x14ac:dyDescent="0.25">
      <c r="AI79" t="s">
        <v>94</v>
      </c>
      <c r="AJ79">
        <v>1.87</v>
      </c>
      <c r="AK79">
        <v>0.92</v>
      </c>
      <c r="AL79">
        <v>1</v>
      </c>
      <c r="AM79">
        <v>-0.34</v>
      </c>
      <c r="AN79">
        <v>-0.09</v>
      </c>
      <c r="AO79">
        <v>-0.94</v>
      </c>
    </row>
  </sheetData>
  <mergeCells count="6">
    <mergeCell ref="AA59:AI60"/>
    <mergeCell ref="A21:K23"/>
    <mergeCell ref="P34:X35"/>
    <mergeCell ref="P9:X10"/>
    <mergeCell ref="Z9:AH10"/>
    <mergeCell ref="AA34:AI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AC12-7DF8-42A5-A2D6-4F386C354C01}">
  <dimension ref="A1:AE69"/>
  <sheetViews>
    <sheetView topLeftCell="F39" zoomScaleNormal="100" workbookViewId="0">
      <selection activeCell="M68" sqref="M68"/>
    </sheetView>
  </sheetViews>
  <sheetFormatPr defaultRowHeight="15" x14ac:dyDescent="0.25"/>
  <cols>
    <col min="1" max="1" width="9.140625" style="24"/>
    <col min="2" max="2" width="17.28515625" bestFit="1" customWidth="1"/>
    <col min="3" max="3" width="10.7109375" bestFit="1" customWidth="1"/>
    <col min="4" max="4" width="19.7109375" bestFit="1" customWidth="1"/>
    <col min="9" max="9" width="9.140625" style="14"/>
    <col min="10" max="10" width="17.28515625" bestFit="1" customWidth="1"/>
    <col min="12" max="12" width="9.140625" customWidth="1"/>
    <col min="13" max="13" width="4.140625" customWidth="1"/>
    <col min="14" max="14" width="9.140625" style="13"/>
    <col min="17" max="17" width="11.85546875" customWidth="1"/>
    <col min="18" max="18" width="16.85546875" style="22" bestFit="1" customWidth="1"/>
    <col min="19" max="19" width="9.140625" style="14"/>
    <col min="20" max="20" width="8.140625" style="14" customWidth="1"/>
    <col min="21" max="21" width="7" style="14" customWidth="1"/>
    <col min="22" max="22" width="7.140625" style="14" customWidth="1"/>
    <col min="24" max="24" width="25.140625" style="19" customWidth="1"/>
    <col min="25" max="28" width="9.140625" style="14"/>
    <col min="29" max="29" width="11.140625" customWidth="1"/>
    <col min="30" max="30" width="9.140625" style="28"/>
  </cols>
  <sheetData>
    <row r="1" spans="2:31" x14ac:dyDescent="0.25">
      <c r="F1" t="s">
        <v>66</v>
      </c>
      <c r="G1" t="s">
        <v>67</v>
      </c>
      <c r="H1" t="s">
        <v>68</v>
      </c>
      <c r="I1" s="14" t="s">
        <v>87</v>
      </c>
      <c r="K1" t="s">
        <v>69</v>
      </c>
      <c r="L1" t="s">
        <v>70</v>
      </c>
      <c r="M1" t="s">
        <v>71</v>
      </c>
      <c r="N1" s="13" t="s">
        <v>87</v>
      </c>
      <c r="Q1" t="s">
        <v>108</v>
      </c>
      <c r="R1" s="21" t="s">
        <v>107</v>
      </c>
      <c r="S1" s="14" t="s">
        <v>69</v>
      </c>
      <c r="T1" s="14" t="s">
        <v>70</v>
      </c>
      <c r="U1" s="14" t="s">
        <v>71</v>
      </c>
      <c r="V1" s="14" t="s">
        <v>87</v>
      </c>
      <c r="W1" s="14" t="s">
        <v>106</v>
      </c>
      <c r="X1" s="1" t="s">
        <v>107</v>
      </c>
      <c r="Y1" s="14" t="s">
        <v>66</v>
      </c>
      <c r="Z1" s="14" t="s">
        <v>67</v>
      </c>
      <c r="AA1" s="14" t="s">
        <v>68</v>
      </c>
      <c r="AB1" s="14" t="s">
        <v>87</v>
      </c>
      <c r="AD1" s="11" t="s">
        <v>118</v>
      </c>
      <c r="AE1" s="25" t="s">
        <v>98</v>
      </c>
    </row>
    <row r="2" spans="2:31" x14ac:dyDescent="0.25">
      <c r="B2" t="s">
        <v>72</v>
      </c>
      <c r="C2" t="s">
        <v>31</v>
      </c>
      <c r="D2" t="s">
        <v>73</v>
      </c>
      <c r="E2" s="15" t="str">
        <f>B2</f>
        <v>Lateral Trunk Lean</v>
      </c>
      <c r="F2">
        <v>9.33</v>
      </c>
      <c r="G2">
        <v>0.2</v>
      </c>
      <c r="H2">
        <v>2.16</v>
      </c>
      <c r="I2" s="14">
        <f>AVERAGE(F2:H2)</f>
        <v>3.8966666666666665</v>
      </c>
      <c r="J2" s="15" t="str">
        <f>B2</f>
        <v>Lateral Trunk Lean</v>
      </c>
      <c r="K2">
        <v>4.79</v>
      </c>
      <c r="L2">
        <v>5.98</v>
      </c>
      <c r="M2">
        <v>0.2</v>
      </c>
      <c r="N2" s="14">
        <f>AVERAGE(K2:M2)</f>
        <v>3.6566666666666663</v>
      </c>
      <c r="Q2" t="s">
        <v>109</v>
      </c>
      <c r="R2" s="22" t="s">
        <v>31</v>
      </c>
      <c r="S2" s="14">
        <v>21.24</v>
      </c>
      <c r="T2" s="14">
        <v>16.37</v>
      </c>
      <c r="U2" s="14">
        <v>14.64</v>
      </c>
      <c r="V2" s="14">
        <f>AVERAGE(S2:U2)</f>
        <v>17.416666666666668</v>
      </c>
      <c r="W2" s="14">
        <f>V2-AB2</f>
        <v>-1.5233333333333334</v>
      </c>
      <c r="X2" s="19" t="s">
        <v>31</v>
      </c>
      <c r="Y2" s="14">
        <v>18.28</v>
      </c>
      <c r="Z2" s="14">
        <v>20.48</v>
      </c>
      <c r="AA2" s="14">
        <v>18.059999999999999</v>
      </c>
      <c r="AB2" s="14">
        <f>AVERAGE(Y2:AA2)</f>
        <v>18.940000000000001</v>
      </c>
      <c r="AD2" s="11">
        <f>W2/AE2</f>
        <v>-7.6166666666666674E-2</v>
      </c>
      <c r="AE2" s="25">
        <v>20</v>
      </c>
    </row>
    <row r="3" spans="2:31" x14ac:dyDescent="0.25">
      <c r="F3" t="s">
        <v>66</v>
      </c>
      <c r="G3" t="s">
        <v>67</v>
      </c>
      <c r="H3" t="s">
        <v>68</v>
      </c>
      <c r="I3" s="14" t="s">
        <v>87</v>
      </c>
      <c r="K3" t="s">
        <v>69</v>
      </c>
      <c r="L3" t="s">
        <v>70</v>
      </c>
      <c r="M3" t="s">
        <v>71</v>
      </c>
      <c r="N3" s="14" t="s">
        <v>87</v>
      </c>
      <c r="R3" s="21" t="s">
        <v>107</v>
      </c>
      <c r="S3" s="14" t="s">
        <v>69</v>
      </c>
      <c r="T3" s="14" t="s">
        <v>70</v>
      </c>
      <c r="U3" s="14" t="s">
        <v>71</v>
      </c>
      <c r="V3" s="14" t="s">
        <v>87</v>
      </c>
      <c r="X3" s="1" t="s">
        <v>107</v>
      </c>
      <c r="Y3" s="14" t="s">
        <v>66</v>
      </c>
      <c r="Z3" s="14" t="s">
        <v>67</v>
      </c>
      <c r="AA3" s="14" t="s">
        <v>68</v>
      </c>
      <c r="AB3" s="14" t="s">
        <v>87</v>
      </c>
      <c r="AD3" s="11"/>
      <c r="AE3" s="25"/>
    </row>
    <row r="4" spans="2:31" x14ac:dyDescent="0.25">
      <c r="B4" t="s">
        <v>74</v>
      </c>
      <c r="C4" t="s">
        <v>31</v>
      </c>
      <c r="D4" t="s">
        <v>75</v>
      </c>
      <c r="E4" s="15" t="str">
        <f t="shared" ref="E4" si="0">B4</f>
        <v>Pelvic Obliquity</v>
      </c>
      <c r="F4">
        <v>4.93</v>
      </c>
      <c r="G4">
        <v>3.57</v>
      </c>
      <c r="H4">
        <v>3.91</v>
      </c>
      <c r="I4" s="14">
        <f t="shared" ref="I4:I6" si="1">AVERAGE(F4:H4)</f>
        <v>4.1366666666666667</v>
      </c>
      <c r="J4" s="15" t="str">
        <f>B4</f>
        <v>Pelvic Obliquity</v>
      </c>
      <c r="K4">
        <v>1.42</v>
      </c>
      <c r="L4">
        <v>1.61</v>
      </c>
      <c r="M4">
        <v>4.79</v>
      </c>
      <c r="N4" s="14">
        <f t="shared" ref="N4:N6" si="2">AVERAGE(K4:M4)</f>
        <v>2.6066666666666669</v>
      </c>
      <c r="Q4" t="s">
        <v>109</v>
      </c>
      <c r="R4" s="22" t="s">
        <v>0</v>
      </c>
      <c r="S4" s="14">
        <v>44.8</v>
      </c>
      <c r="T4" s="14">
        <v>51.59</v>
      </c>
      <c r="U4" s="14">
        <v>37.94</v>
      </c>
      <c r="V4" s="14">
        <f>AVERAGE(S4:U4)</f>
        <v>44.776666666666664</v>
      </c>
      <c r="W4" s="14">
        <f>V4-AB4</f>
        <v>-1.6666666666665719E-2</v>
      </c>
      <c r="X4" s="19" t="s">
        <v>0</v>
      </c>
      <c r="Y4" s="14">
        <v>44.81</v>
      </c>
      <c r="Z4" s="14">
        <v>51.61</v>
      </c>
      <c r="AA4" s="14">
        <v>37.96</v>
      </c>
      <c r="AB4" s="14">
        <f t="shared" ref="AB4" si="3">AVERAGE(Y4:AA4)</f>
        <v>44.793333333333329</v>
      </c>
      <c r="AD4" s="11">
        <f>W4/AE4</f>
        <v>-8.3333333333328601E-4</v>
      </c>
      <c r="AE4" s="25">
        <v>20</v>
      </c>
    </row>
    <row r="5" spans="2:31" x14ac:dyDescent="0.25">
      <c r="E5" s="15" t="s">
        <v>9</v>
      </c>
      <c r="F5" t="s">
        <v>66</v>
      </c>
      <c r="G5" t="s">
        <v>67</v>
      </c>
      <c r="H5" t="s">
        <v>68</v>
      </c>
      <c r="I5" s="14" t="s">
        <v>87</v>
      </c>
      <c r="J5" s="15" t="s">
        <v>9</v>
      </c>
      <c r="K5" t="s">
        <v>69</v>
      </c>
      <c r="L5" t="s">
        <v>70</v>
      </c>
      <c r="M5" t="s">
        <v>71</v>
      </c>
      <c r="N5" s="14" t="s">
        <v>87</v>
      </c>
      <c r="AD5" s="11"/>
      <c r="AE5" s="25"/>
    </row>
    <row r="6" spans="2:31" x14ac:dyDescent="0.25">
      <c r="B6" t="s">
        <v>9</v>
      </c>
      <c r="C6" t="s">
        <v>31</v>
      </c>
      <c r="D6" t="s">
        <v>76</v>
      </c>
      <c r="E6" t="s">
        <v>58</v>
      </c>
      <c r="F6">
        <v>12.03</v>
      </c>
      <c r="G6">
        <v>11.69</v>
      </c>
      <c r="H6">
        <v>11.64</v>
      </c>
      <c r="I6" s="14">
        <f t="shared" si="1"/>
        <v>11.786666666666667</v>
      </c>
      <c r="J6" t="s">
        <v>58</v>
      </c>
      <c r="K6">
        <v>8.8699999999999992</v>
      </c>
      <c r="L6">
        <v>12.35</v>
      </c>
      <c r="M6">
        <v>15.39</v>
      </c>
      <c r="N6" s="14">
        <f t="shared" si="2"/>
        <v>12.203333333333333</v>
      </c>
      <c r="R6" s="21" t="s">
        <v>16</v>
      </c>
      <c r="S6" s="14" t="s">
        <v>69</v>
      </c>
      <c r="T6" s="14" t="s">
        <v>70</v>
      </c>
      <c r="U6" s="14" t="s">
        <v>71</v>
      </c>
      <c r="V6" s="14" t="s">
        <v>87</v>
      </c>
      <c r="X6" s="1" t="s">
        <v>16</v>
      </c>
      <c r="Y6" s="14" t="s">
        <v>66</v>
      </c>
      <c r="Z6" s="14" t="s">
        <v>67</v>
      </c>
      <c r="AA6" s="14" t="s">
        <v>68</v>
      </c>
      <c r="AB6" s="14" t="s">
        <v>87</v>
      </c>
      <c r="AD6" s="11"/>
      <c r="AE6" s="25"/>
    </row>
    <row r="7" spans="2:31" x14ac:dyDescent="0.25">
      <c r="C7" t="s">
        <v>0</v>
      </c>
      <c r="D7" t="s">
        <v>77</v>
      </c>
      <c r="E7" s="15" t="s">
        <v>9</v>
      </c>
      <c r="F7" t="s">
        <v>66</v>
      </c>
      <c r="G7" t="s">
        <v>67</v>
      </c>
      <c r="H7" t="s">
        <v>68</v>
      </c>
      <c r="I7" s="14" t="s">
        <v>87</v>
      </c>
      <c r="J7" s="15" t="s">
        <v>9</v>
      </c>
      <c r="K7" t="s">
        <v>69</v>
      </c>
      <c r="L7" t="s">
        <v>70</v>
      </c>
      <c r="M7" t="s">
        <v>71</v>
      </c>
      <c r="N7" s="14" t="s">
        <v>87</v>
      </c>
      <c r="Q7" t="s">
        <v>110</v>
      </c>
      <c r="R7" s="22" t="s">
        <v>0</v>
      </c>
      <c r="S7" s="14">
        <v>96.2</v>
      </c>
      <c r="T7" s="14">
        <v>96.38</v>
      </c>
      <c r="U7" s="14">
        <v>91.11</v>
      </c>
      <c r="V7" s="14">
        <f>AVERAGE(S7:U7)</f>
        <v>94.563333333333333</v>
      </c>
      <c r="W7" s="14">
        <f>V7-AB7</f>
        <v>2.5533333333333417</v>
      </c>
      <c r="X7" s="19" t="s">
        <v>0</v>
      </c>
      <c r="Y7" s="14">
        <v>93.27</v>
      </c>
      <c r="Z7" s="14">
        <v>92.61</v>
      </c>
      <c r="AA7" s="14">
        <v>90.15</v>
      </c>
      <c r="AB7" s="14">
        <f t="shared" ref="AB7" si="4">AVERAGE(Y7:AA7)</f>
        <v>92.009999999999991</v>
      </c>
      <c r="AD7" s="11">
        <f>W7/AE7</f>
        <v>0.17022222222222277</v>
      </c>
      <c r="AE7" s="25">
        <v>15</v>
      </c>
    </row>
    <row r="8" spans="2:31" x14ac:dyDescent="0.25">
      <c r="E8" t="s">
        <v>57</v>
      </c>
      <c r="F8">
        <v>-10.63</v>
      </c>
      <c r="G8">
        <v>-7.2</v>
      </c>
      <c r="H8">
        <v>-11.3</v>
      </c>
      <c r="I8" s="14">
        <f>AVERAGE(F8:H8)</f>
        <v>-9.7100000000000009</v>
      </c>
      <c r="J8" t="s">
        <v>57</v>
      </c>
      <c r="K8">
        <v>-5.7</v>
      </c>
      <c r="L8">
        <v>-8.98</v>
      </c>
      <c r="M8">
        <v>-3.78</v>
      </c>
      <c r="N8" s="14">
        <f>AVERAGE(K8:M8)</f>
        <v>-6.1533333333333333</v>
      </c>
      <c r="AD8" s="11"/>
      <c r="AE8" s="25"/>
    </row>
    <row r="9" spans="2:31" x14ac:dyDescent="0.25">
      <c r="B9" t="s">
        <v>78</v>
      </c>
      <c r="C9" t="s">
        <v>31</v>
      </c>
      <c r="D9" t="s">
        <v>77</v>
      </c>
      <c r="E9" s="15" t="s">
        <v>7</v>
      </c>
      <c r="F9" t="s">
        <v>66</v>
      </c>
      <c r="G9" t="s">
        <v>67</v>
      </c>
      <c r="H9" t="s">
        <v>68</v>
      </c>
      <c r="I9" s="14" t="s">
        <v>87</v>
      </c>
      <c r="J9" s="15" t="str">
        <f>B9</f>
        <v xml:space="preserve">Knee valgus </v>
      </c>
      <c r="K9" t="s">
        <v>69</v>
      </c>
      <c r="L9" t="s">
        <v>70</v>
      </c>
      <c r="M9" t="s">
        <v>71</v>
      </c>
      <c r="N9" s="14" t="s">
        <v>87</v>
      </c>
      <c r="R9" s="21" t="s">
        <v>111</v>
      </c>
      <c r="S9" s="14" t="s">
        <v>69</v>
      </c>
      <c r="T9" s="14" t="s">
        <v>70</v>
      </c>
      <c r="U9" s="14" t="s">
        <v>71</v>
      </c>
      <c r="V9" s="14" t="s">
        <v>87</v>
      </c>
      <c r="X9" s="1" t="s">
        <v>111</v>
      </c>
      <c r="Y9" s="14" t="s">
        <v>66</v>
      </c>
      <c r="Z9" s="14" t="s">
        <v>67</v>
      </c>
      <c r="AA9" s="14" t="s">
        <v>68</v>
      </c>
      <c r="AB9" s="14" t="s">
        <v>87</v>
      </c>
      <c r="AD9" s="11"/>
      <c r="AE9" s="25"/>
    </row>
    <row r="10" spans="2:31" x14ac:dyDescent="0.25">
      <c r="C10" t="s">
        <v>0</v>
      </c>
      <c r="D10" t="s">
        <v>79</v>
      </c>
      <c r="E10" t="s">
        <v>58</v>
      </c>
      <c r="F10">
        <v>0.92</v>
      </c>
      <c r="G10">
        <v>0.55000000000000004</v>
      </c>
      <c r="H10">
        <v>0.02</v>
      </c>
      <c r="I10" s="14">
        <f>AVERAGE(F10:H10)</f>
        <v>0.49666666666666676</v>
      </c>
      <c r="J10" t="s">
        <v>58</v>
      </c>
      <c r="K10">
        <v>-3.01</v>
      </c>
      <c r="L10">
        <v>-1.53</v>
      </c>
      <c r="M10">
        <v>-1.54</v>
      </c>
      <c r="N10" s="14">
        <f>AVERAGE(K10:M10)</f>
        <v>-2.0266666666666668</v>
      </c>
      <c r="Q10" t="s">
        <v>112</v>
      </c>
      <c r="R10" s="22" t="s">
        <v>0</v>
      </c>
      <c r="S10" s="14">
        <v>100.91</v>
      </c>
      <c r="T10" s="14">
        <v>94.81</v>
      </c>
      <c r="U10" s="14">
        <v>99.34</v>
      </c>
      <c r="V10" s="14">
        <f>AVERAGE(S10:U10)</f>
        <v>98.353333333333339</v>
      </c>
      <c r="W10" s="14">
        <f>V10-AB10</f>
        <v>1.75</v>
      </c>
      <c r="X10" s="19" t="s">
        <v>0</v>
      </c>
      <c r="Y10" s="14">
        <v>96.14</v>
      </c>
      <c r="Z10" s="14">
        <v>95.73</v>
      </c>
      <c r="AA10" s="14">
        <v>97.94</v>
      </c>
      <c r="AB10" s="14">
        <f t="shared" ref="AB10" si="5">AVERAGE(Y10:AA10)</f>
        <v>96.603333333333339</v>
      </c>
      <c r="AD10" s="11">
        <f>W10/AE10</f>
        <v>8.7499999999999994E-2</v>
      </c>
      <c r="AE10" s="25">
        <v>20</v>
      </c>
    </row>
    <row r="11" spans="2:31" x14ac:dyDescent="0.25">
      <c r="E11" s="15" t="s">
        <v>7</v>
      </c>
      <c r="F11" t="s">
        <v>66</v>
      </c>
      <c r="G11" t="s">
        <v>67</v>
      </c>
      <c r="H11" t="s">
        <v>68</v>
      </c>
      <c r="I11" s="14" t="s">
        <v>87</v>
      </c>
      <c r="J11" s="15" t="str">
        <f>B9</f>
        <v xml:space="preserve">Knee valgus </v>
      </c>
      <c r="K11" t="s">
        <v>69</v>
      </c>
      <c r="L11" t="s">
        <v>70</v>
      </c>
      <c r="M11" t="s">
        <v>71</v>
      </c>
      <c r="N11" s="14" t="s">
        <v>87</v>
      </c>
    </row>
    <row r="12" spans="2:31" x14ac:dyDescent="0.25">
      <c r="E12" t="s">
        <v>57</v>
      </c>
      <c r="F12">
        <v>1.87</v>
      </c>
      <c r="G12">
        <v>0.92</v>
      </c>
      <c r="H12">
        <v>1</v>
      </c>
      <c r="I12" s="14">
        <f>AVERAGE(F12:H12)</f>
        <v>1.2633333333333334</v>
      </c>
      <c r="J12" t="s">
        <v>57</v>
      </c>
      <c r="K12">
        <v>-0.34</v>
      </c>
      <c r="L12">
        <v>-0.09</v>
      </c>
      <c r="M12">
        <v>-0.94</v>
      </c>
      <c r="N12" s="14">
        <f>AVERAGE(K12:M12)</f>
        <v>-0.45666666666666672</v>
      </c>
      <c r="R12" s="21" t="s">
        <v>113</v>
      </c>
      <c r="S12" s="14" t="s">
        <v>69</v>
      </c>
      <c r="T12" s="14" t="s">
        <v>70</v>
      </c>
      <c r="U12" s="14" t="s">
        <v>71</v>
      </c>
      <c r="X12" s="1" t="s">
        <v>113</v>
      </c>
      <c r="Y12" s="14" t="s">
        <v>66</v>
      </c>
      <c r="Z12" s="14" t="s">
        <v>67</v>
      </c>
      <c r="AA12" s="14" t="s">
        <v>68</v>
      </c>
    </row>
    <row r="13" spans="2:31" x14ac:dyDescent="0.25">
      <c r="R13" s="22" t="s">
        <v>0</v>
      </c>
      <c r="S13" s="14" t="s">
        <v>114</v>
      </c>
      <c r="T13" s="14" t="s">
        <v>114</v>
      </c>
      <c r="U13" s="14" t="s">
        <v>114</v>
      </c>
      <c r="V13" s="14">
        <f>SUM(IF(S13="Yes",1,0)+IF(T13="Yes",1,0)+IF(U13="Yes",1,0))/3</f>
        <v>1</v>
      </c>
      <c r="X13" s="19" t="s">
        <v>0</v>
      </c>
      <c r="Y13" s="14" t="s">
        <v>114</v>
      </c>
      <c r="Z13" s="14" t="s">
        <v>114</v>
      </c>
      <c r="AA13" s="14" t="s">
        <v>114</v>
      </c>
      <c r="AB13" s="14">
        <f>SUM(IF(Y13="Yes",1,0)+IF(Z13="Yes",1,0)+IF(AA13="Yes",1,0))/3</f>
        <v>1</v>
      </c>
    </row>
    <row r="14" spans="2:31" x14ac:dyDescent="0.25">
      <c r="I14" s="14" t="s">
        <v>106</v>
      </c>
      <c r="J14" t="s">
        <v>88</v>
      </c>
      <c r="K14" t="s">
        <v>89</v>
      </c>
      <c r="L14" s="15"/>
      <c r="M14" s="15" t="s">
        <v>103</v>
      </c>
      <c r="N14" s="14" t="s">
        <v>98</v>
      </c>
    </row>
    <row r="15" spans="2:31" x14ac:dyDescent="0.25">
      <c r="E15" t="s">
        <v>80</v>
      </c>
      <c r="F15" t="s">
        <v>81</v>
      </c>
      <c r="H15" t="s">
        <v>82</v>
      </c>
      <c r="I15" s="13">
        <f>IF($F$15="left", AVERAGE(F2:H2) - AVERAGE(K2:M2), AVERAGE(K2:M2) - AVERAGE(F2:H2))</f>
        <v>0.24000000000000021</v>
      </c>
      <c r="J15" s="14">
        <f>AVERAGE(F2:H2)/AVERAGE(K2:M2)</f>
        <v>1.06563354603464</v>
      </c>
      <c r="K15" s="11">
        <f>(I2-N2)/(0.5*(I2+N2))</f>
        <v>6.3548102383053903E-2</v>
      </c>
      <c r="L15" s="15" t="s">
        <v>82</v>
      </c>
      <c r="M15" s="26">
        <f>I15/N15</f>
        <v>1.2000000000000011E-2</v>
      </c>
      <c r="N15" s="14">
        <v>20</v>
      </c>
      <c r="R15" s="21" t="s">
        <v>116</v>
      </c>
      <c r="S15" s="14" t="s">
        <v>69</v>
      </c>
      <c r="T15" s="14" t="s">
        <v>70</v>
      </c>
      <c r="U15" s="14" t="s">
        <v>71</v>
      </c>
      <c r="X15" s="1" t="s">
        <v>116</v>
      </c>
      <c r="Y15" s="14" t="s">
        <v>66</v>
      </c>
      <c r="Z15" s="14" t="s">
        <v>67</v>
      </c>
      <c r="AA15" s="14" t="s">
        <v>68</v>
      </c>
    </row>
    <row r="16" spans="2:31" x14ac:dyDescent="0.25">
      <c r="H16" t="s">
        <v>83</v>
      </c>
      <c r="I16" s="13">
        <f>IF($F$15="left", AVERAGE(F4:H4) - AVERAGE(K4:M4), AVERAGE(K4:M4) - AVERAGE(F4:H4))</f>
        <v>1.5299999999999998</v>
      </c>
      <c r="J16" s="14">
        <f>AVERAGE(F4:H4)/AVERAGE(K4:M4)</f>
        <v>1.5869565217391304</v>
      </c>
      <c r="K16" s="11">
        <f>(I4-N4)/(0.5*(I4+N4))</f>
        <v>0.4537815126050419</v>
      </c>
      <c r="L16" s="15" t="s">
        <v>83</v>
      </c>
      <c r="M16" s="26">
        <f t="shared" ref="M16:M20" si="6">I16/N16</f>
        <v>0.15299999999999997</v>
      </c>
      <c r="N16" s="14">
        <v>10</v>
      </c>
      <c r="R16" s="22" t="s">
        <v>31</v>
      </c>
      <c r="S16" s="14" t="s">
        <v>115</v>
      </c>
      <c r="T16" s="14" t="s">
        <v>115</v>
      </c>
      <c r="U16" s="14" t="s">
        <v>115</v>
      </c>
      <c r="V16" s="14">
        <f>SUM(IF(S16="Yes",1,0)+IF(T16="Yes",1,0)+IF(U16="Yes",1,0))/3</f>
        <v>0</v>
      </c>
      <c r="X16" s="19" t="s">
        <v>31</v>
      </c>
      <c r="Y16" s="14" t="s">
        <v>115</v>
      </c>
      <c r="Z16" s="14" t="s">
        <v>115</v>
      </c>
      <c r="AA16" s="14" t="s">
        <v>115</v>
      </c>
      <c r="AB16" s="14">
        <f>SUM(IF(Y16="Yes",1,0)+IF(Z16="Yes",1,0)+IF(AA16="Yes",1,0))/3</f>
        <v>0</v>
      </c>
    </row>
    <row r="17" spans="1:29" x14ac:dyDescent="0.25">
      <c r="G17" t="s">
        <v>84</v>
      </c>
      <c r="H17" t="s">
        <v>58</v>
      </c>
      <c r="I17" s="13">
        <f>IF($F$15="left", AVERAGE(F6:H6) - AVERAGE(K6:M6), AVERAGE(K6:M6) - AVERAGE(F6:H6))</f>
        <v>-0.41666666666666607</v>
      </c>
      <c r="J17" s="14">
        <f>AVERAGE(F6:H6)/AVERAGE(K6:M6)</f>
        <v>0.9658563234089047</v>
      </c>
      <c r="K17" s="11">
        <f>(I6-N6)/(0.5*(I6+N6))</f>
        <v>-3.4736695845491126E-2</v>
      </c>
      <c r="L17" s="15" t="s">
        <v>58</v>
      </c>
      <c r="M17" s="26">
        <f t="shared" si="6"/>
        <v>-2.7777777777777738E-2</v>
      </c>
      <c r="N17" s="14">
        <v>15</v>
      </c>
      <c r="R17" s="21" t="s">
        <v>116</v>
      </c>
      <c r="S17" s="14" t="s">
        <v>69</v>
      </c>
      <c r="T17" s="14" t="s">
        <v>70</v>
      </c>
      <c r="U17" s="14" t="s">
        <v>71</v>
      </c>
      <c r="X17" s="1" t="s">
        <v>116</v>
      </c>
      <c r="Y17" s="14" t="s">
        <v>66</v>
      </c>
      <c r="Z17" s="14" t="s">
        <v>67</v>
      </c>
      <c r="AA17" s="14" t="s">
        <v>68</v>
      </c>
    </row>
    <row r="18" spans="1:29" x14ac:dyDescent="0.25">
      <c r="H18" t="s">
        <v>57</v>
      </c>
      <c r="I18" s="13">
        <f>IF($F$15="left", AVERAGE(F8:H8) - AVERAGE(K8:M8), AVERAGE(K8:M8) - AVERAGE(F8:H8))</f>
        <v>-3.5566666666666675</v>
      </c>
      <c r="J18" s="14">
        <f>AVERAGE(F8:H8)/AVERAGE(K8:M8)</f>
        <v>1.5780065005417119</v>
      </c>
      <c r="K18" s="11">
        <f>(I8-N8)/(0.5*(I8+N8))</f>
        <v>0.44841353225467545</v>
      </c>
      <c r="L18" s="15" t="s">
        <v>57</v>
      </c>
      <c r="M18" s="26">
        <f t="shared" si="6"/>
        <v>-0.35566666666666674</v>
      </c>
      <c r="N18" s="14">
        <v>10</v>
      </c>
      <c r="R18" s="22" t="s">
        <v>0</v>
      </c>
      <c r="S18" s="14" t="s">
        <v>114</v>
      </c>
      <c r="T18" s="14" t="s">
        <v>114</v>
      </c>
      <c r="U18" s="14" t="s">
        <v>114</v>
      </c>
      <c r="V18" s="14">
        <f>SUM(IF(S18="Yes",1,0)+IF(T18="Yes",1,0)+IF(U18="Yes",1,0))/3</f>
        <v>1</v>
      </c>
      <c r="X18" s="19" t="s">
        <v>0</v>
      </c>
      <c r="Y18" s="14" t="s">
        <v>114</v>
      </c>
      <c r="Z18" s="14" t="s">
        <v>114</v>
      </c>
      <c r="AA18" s="14" t="s">
        <v>114</v>
      </c>
      <c r="AB18" s="14">
        <f>SUM(IF(Y18="Yes",1,0)+IF(Z18="Yes",1,0)+IF(AA18="Yes",1,0))/3</f>
        <v>1</v>
      </c>
    </row>
    <row r="19" spans="1:29" x14ac:dyDescent="0.25">
      <c r="G19" t="s">
        <v>105</v>
      </c>
      <c r="H19" t="s">
        <v>58</v>
      </c>
      <c r="I19" s="13">
        <f>IF($F$15="left", AVERAGE(F10:H10) - AVERAGE(K10:M10), AVERAGE(K10:M10) - AVERAGE(F10:H10))</f>
        <v>2.5233333333333334</v>
      </c>
      <c r="J19" s="14">
        <f>AVERAGE(F10:H10)/AVERAGE(K10:M10)</f>
        <v>-0.24506578947368424</v>
      </c>
      <c r="K19" s="11">
        <f>(I10-N10)/(0.5*(I10+N10))</f>
        <v>-3.2984749455337692</v>
      </c>
      <c r="L19" s="15" t="s">
        <v>58</v>
      </c>
      <c r="M19" s="26">
        <f t="shared" si="6"/>
        <v>0.50466666666666671</v>
      </c>
      <c r="N19" s="14">
        <v>5</v>
      </c>
    </row>
    <row r="20" spans="1:29" x14ac:dyDescent="0.25">
      <c r="H20" t="s">
        <v>57</v>
      </c>
      <c r="I20" s="13">
        <f>IF($F$15="left", AVERAGE(F12:H12) - AVERAGE(K12:M12), AVERAGE(K12:M12) - AVERAGE(F12:H12))</f>
        <v>1.7200000000000002</v>
      </c>
      <c r="J20" s="14">
        <f>AVERAGE(F12:H12)/AVERAGE(K12:M12)</f>
        <v>-2.7664233576642334</v>
      </c>
      <c r="K20" s="17">
        <f>(I12-N12)/(0.5*(I12+N12))</f>
        <v>4.2644628099173563</v>
      </c>
      <c r="L20" s="15" t="s">
        <v>57</v>
      </c>
      <c r="M20" s="26">
        <f t="shared" si="6"/>
        <v>0.34400000000000003</v>
      </c>
      <c r="N20" s="14">
        <v>5</v>
      </c>
    </row>
    <row r="21" spans="1:29" ht="15" customHeight="1" x14ac:dyDescent="0.25">
      <c r="A21" s="30" t="s">
        <v>85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R21" s="30" t="s">
        <v>117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spans="1:29" ht="1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spans="1:29" ht="1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spans="1:29" ht="15" customHeight="1" x14ac:dyDescent="0.25">
      <c r="A24" s="18"/>
      <c r="B24" s="35" t="s">
        <v>90</v>
      </c>
      <c r="C24" s="35"/>
      <c r="D24" s="35"/>
      <c r="E24" s="35" t="s">
        <v>121</v>
      </c>
      <c r="F24" s="35"/>
      <c r="G24" s="35"/>
      <c r="H24" s="35"/>
      <c r="I24" s="35" t="s">
        <v>95</v>
      </c>
      <c r="J24" s="35"/>
      <c r="K24" s="35"/>
      <c r="L24" s="35"/>
      <c r="M24" s="35"/>
      <c r="R24" s="35" t="s">
        <v>90</v>
      </c>
      <c r="S24" s="35"/>
      <c r="T24" s="35"/>
      <c r="U24" s="35"/>
      <c r="V24" s="35"/>
      <c r="W24" s="35" t="s">
        <v>121</v>
      </c>
      <c r="X24" s="35"/>
      <c r="Y24" s="35" t="s">
        <v>95</v>
      </c>
      <c r="Z24" s="35"/>
      <c r="AA24" s="35"/>
      <c r="AB24" s="35"/>
      <c r="AC24" s="35"/>
    </row>
    <row r="25" spans="1:29" ht="15" customHeight="1" x14ac:dyDescent="0.25">
      <c r="A25" s="18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spans="1:29" ht="15" customHeight="1" x14ac:dyDescent="0.25">
      <c r="A26" s="18"/>
      <c r="B26" s="34" t="s">
        <v>31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R26" s="34" t="s">
        <v>31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spans="1:29" ht="15" customHeight="1" x14ac:dyDescent="0.25">
      <c r="A27" s="33" t="s">
        <v>72</v>
      </c>
      <c r="B27" s="20"/>
      <c r="C27" s="20"/>
      <c r="D27" s="20"/>
      <c r="Q27" s="33" t="s">
        <v>120</v>
      </c>
    </row>
    <row r="28" spans="1:29" x14ac:dyDescent="0.25">
      <c r="A28" s="33"/>
      <c r="Q28" s="33"/>
    </row>
    <row r="29" spans="1:29" x14ac:dyDescent="0.25">
      <c r="A29" s="33"/>
      <c r="Q29" s="33"/>
    </row>
    <row r="30" spans="1:29" x14ac:dyDescent="0.25">
      <c r="A30" s="33"/>
      <c r="Q30" s="33"/>
    </row>
    <row r="31" spans="1:29" x14ac:dyDescent="0.25">
      <c r="A31" s="33"/>
      <c r="Q31" s="33"/>
    </row>
    <row r="32" spans="1:29" x14ac:dyDescent="0.25">
      <c r="A32" s="33"/>
      <c r="Q32" s="33"/>
    </row>
    <row r="33" spans="1:29" x14ac:dyDescent="0.25">
      <c r="A33" s="23"/>
      <c r="B33" s="34" t="s">
        <v>31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Q33" s="23"/>
      <c r="R33" s="34" t="s">
        <v>0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 spans="1:29" ht="15" customHeight="1" x14ac:dyDescent="0.25">
      <c r="A34" s="33" t="s">
        <v>74</v>
      </c>
      <c r="Q34" s="33" t="s">
        <v>120</v>
      </c>
    </row>
    <row r="35" spans="1:29" x14ac:dyDescent="0.25">
      <c r="A35" s="33"/>
      <c r="Q35" s="33"/>
    </row>
    <row r="36" spans="1:29" x14ac:dyDescent="0.25">
      <c r="A36" s="33"/>
      <c r="Q36" s="33"/>
    </row>
    <row r="37" spans="1:29" x14ac:dyDescent="0.25">
      <c r="A37" s="33"/>
      <c r="Q37" s="33"/>
    </row>
    <row r="38" spans="1:29" x14ac:dyDescent="0.25">
      <c r="A38" s="33"/>
      <c r="Q38" s="33"/>
    </row>
    <row r="39" spans="1:29" x14ac:dyDescent="0.25">
      <c r="A39" s="33"/>
      <c r="Q39" s="33"/>
    </row>
    <row r="40" spans="1:29" x14ac:dyDescent="0.25">
      <c r="A40" s="33"/>
      <c r="R40" s="34" t="s">
        <v>0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 spans="1:29" x14ac:dyDescent="0.25">
      <c r="A41" s="33"/>
      <c r="Q41" s="33" t="s">
        <v>122</v>
      </c>
    </row>
    <row r="42" spans="1:29" x14ac:dyDescent="0.25">
      <c r="A42" s="23"/>
      <c r="B42" s="34" t="s">
        <v>31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Q42" s="33"/>
    </row>
    <row r="43" spans="1:29" x14ac:dyDescent="0.25">
      <c r="A43" s="33" t="s">
        <v>119</v>
      </c>
      <c r="Q43" s="33"/>
    </row>
    <row r="44" spans="1:29" x14ac:dyDescent="0.25">
      <c r="A44" s="33"/>
      <c r="Q44" s="33"/>
    </row>
    <row r="45" spans="1:29" x14ac:dyDescent="0.25">
      <c r="A45" s="33"/>
      <c r="P45" s="27"/>
      <c r="Q45" s="33"/>
    </row>
    <row r="46" spans="1:29" x14ac:dyDescent="0.25">
      <c r="A46" s="33"/>
      <c r="Q46" s="33"/>
    </row>
    <row r="47" spans="1:29" x14ac:dyDescent="0.25">
      <c r="A47" s="33"/>
      <c r="Q47" s="33" t="s">
        <v>123</v>
      </c>
    </row>
    <row r="48" spans="1:29" x14ac:dyDescent="0.25">
      <c r="A48" s="33"/>
      <c r="Q48" s="33"/>
    </row>
    <row r="49" spans="1:17" x14ac:dyDescent="0.25">
      <c r="A49" s="23"/>
      <c r="B49" s="34" t="s">
        <v>0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Q49" s="33"/>
    </row>
    <row r="50" spans="1:17" x14ac:dyDescent="0.25">
      <c r="A50" s="33" t="s">
        <v>119</v>
      </c>
      <c r="Q50" s="33"/>
    </row>
    <row r="51" spans="1:17" x14ac:dyDescent="0.25">
      <c r="A51" s="33"/>
      <c r="Q51" s="33"/>
    </row>
    <row r="52" spans="1:17" x14ac:dyDescent="0.25">
      <c r="A52" s="33"/>
      <c r="Q52" s="33"/>
    </row>
    <row r="53" spans="1:17" x14ac:dyDescent="0.25">
      <c r="A53" s="33"/>
    </row>
    <row r="54" spans="1:17" x14ac:dyDescent="0.25">
      <c r="A54" s="33"/>
    </row>
    <row r="55" spans="1:17" x14ac:dyDescent="0.25">
      <c r="A55" s="33"/>
    </row>
    <row r="57" spans="1:17" ht="15" customHeight="1" x14ac:dyDescent="0.25">
      <c r="B57" s="31" t="s">
        <v>125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1:17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spans="1:17" x14ac:dyDescent="0.25">
      <c r="B59" s="32" t="s">
        <v>124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7" x14ac:dyDescent="0.25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6" spans="18:29" x14ac:dyDescent="0.25">
      <c r="R66" s="31" t="s">
        <v>125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18:29" x14ac:dyDescent="0.25"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18:29" x14ac:dyDescent="0.25">
      <c r="R68" s="32" t="s">
        <v>124</v>
      </c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spans="18:29" x14ac:dyDescent="0.25"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</sheetData>
  <mergeCells count="27">
    <mergeCell ref="Q34:Q39"/>
    <mergeCell ref="Q41:Q46"/>
    <mergeCell ref="Q47:Q52"/>
    <mergeCell ref="B49:M49"/>
    <mergeCell ref="B59:M60"/>
    <mergeCell ref="B57:M58"/>
    <mergeCell ref="B24:D25"/>
    <mergeCell ref="I24:M25"/>
    <mergeCell ref="Q27:Q32"/>
    <mergeCell ref="B26:M26"/>
    <mergeCell ref="B33:M33"/>
    <mergeCell ref="R66:AC67"/>
    <mergeCell ref="R68:AC69"/>
    <mergeCell ref="R21:AC23"/>
    <mergeCell ref="A27:A32"/>
    <mergeCell ref="A21:M23"/>
    <mergeCell ref="A34:A41"/>
    <mergeCell ref="A43:A48"/>
    <mergeCell ref="R26:AC26"/>
    <mergeCell ref="R33:AC33"/>
    <mergeCell ref="R40:AC40"/>
    <mergeCell ref="B42:M42"/>
    <mergeCell ref="Y24:AC25"/>
    <mergeCell ref="R24:V25"/>
    <mergeCell ref="W24:X25"/>
    <mergeCell ref="E24:H25"/>
    <mergeCell ref="A50:A5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test items</vt:lpstr>
      <vt:lpstr>Grouped items</vt:lpstr>
      <vt:lpstr>Sample report format</vt:lpstr>
      <vt:lpstr>Simple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Courter, Robert</dc:creator>
  <cp:lastModifiedBy>Daniel Gregory</cp:lastModifiedBy>
  <dcterms:created xsi:type="dcterms:W3CDTF">2026-05-22T14:05:24Z</dcterms:created>
  <dcterms:modified xsi:type="dcterms:W3CDTF">2026-07-17T19:27:32Z</dcterms:modified>
</cp:coreProperties>
</file>